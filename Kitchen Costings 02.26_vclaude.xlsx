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illiam\food-costings\"/>
    </mc:Choice>
  </mc:AlternateContent>
  <xr:revisionPtr revIDLastSave="0" documentId="13_ncr:1_{C9577184-DD39-41E3-AF62-6C388E229E77}" xr6:coauthVersionLast="47" xr6:coauthVersionMax="47" xr10:uidLastSave="{00000000-0000-0000-0000-000000000000}"/>
  <bookViews>
    <workbookView xWindow="-110" yWindow="-110" windowWidth="19420" windowHeight="10300" tabRatio="739" firstSheet="1" activeTab="11" xr2:uid="{00000000-000D-0000-FFFF-FFFF00000000}"/>
  </bookViews>
  <sheets>
    <sheet name="Sheet1" sheetId="242" state="hidden" r:id="rId1"/>
    <sheet name="Ingredient Cost" sheetId="186" r:id="rId2"/>
    <sheet name="Sliced Ham" sheetId="251" r:id="rId3"/>
    <sheet name="Haslet" sheetId="243" r:id="rId4"/>
    <sheet name="Meatballs" sheetId="245" state="hidden" r:id="rId5"/>
    <sheet name="Black Pudding" sheetId="246" state="hidden" r:id="rId6"/>
    <sheet name="Faggots" sheetId="244" state="hidden" r:id="rId7"/>
    <sheet name="Scotch Eggs" sheetId="241" r:id="rId8"/>
    <sheet name="ROM" sheetId="240" state="hidden" r:id="rId9"/>
    <sheet name="Pastry Costing" sheetId="226" state="hidden" r:id="rId10"/>
    <sheet name="Jumbo Sausage Roll" sheetId="235" state="hidden" r:id="rId11"/>
    <sheet name="Costings v2" sheetId="265" r:id="rId12"/>
    <sheet name="Sliced Haslet - 120g" sheetId="277" r:id="rId13"/>
    <sheet name="Sliced Haslet - 160g" sheetId="276" r:id="rId14"/>
    <sheet name="Whole Haslet v2" sheetId="275" r:id="rId15"/>
    <sheet name="Scoth Eggs v2" sheetId="274" r:id="rId16"/>
    <sheet name="Jumbo Sausage Roll v2" sheetId="256" r:id="rId17"/>
    <sheet name="Sausage Roll" sheetId="234" state="hidden" r:id="rId18"/>
    <sheet name="Bacon Puff" sheetId="248" state="hidden" r:id="rId19"/>
    <sheet name="Chorizo Puff" sheetId="249" state="hidden" r:id="rId20"/>
    <sheet name="Onion Puff" sheetId="250" state="hidden" r:id="rId21"/>
    <sheet name="Pork Pie v2" sheetId="273" r:id="rId22"/>
    <sheet name="1lb Pork Pie" sheetId="219" state="hidden" r:id="rId23"/>
    <sheet name="Hunters Pie" sheetId="247" state="hidden" r:id="rId24"/>
    <sheet name="Sausage Roll v2" sheetId="264" r:id="rId25"/>
    <sheet name="Steak Pie v2" sheetId="229" r:id="rId26"/>
    <sheet name="Steak &amp; Ale Pie" sheetId="230" state="hidden" r:id="rId27"/>
    <sheet name="Steak &amp; Ale Pie v2" sheetId="261" r:id="rId28"/>
    <sheet name="Steak &amp; Kidney Pie" sheetId="231" state="hidden" r:id="rId29"/>
    <sheet name="Steak &amp; Kidney Pie v2" sheetId="262" r:id="rId30"/>
    <sheet name="Steak &amp; Stilton Pie" sheetId="232" state="hidden" r:id="rId31"/>
    <sheet name="Steak &amp; Stilton Pie v2" sheetId="263" r:id="rId32"/>
    <sheet name="C&amp;H Pie v2" sheetId="268" r:id="rId33"/>
    <sheet name="C&amp;H Pie" sheetId="228" state="hidden" r:id="rId34"/>
    <sheet name="C&amp;C Pie v2" sheetId="269" r:id="rId35"/>
    <sheet name="C&amp;C Pie" sheetId="236" state="hidden" r:id="rId36"/>
    <sheet name="Pulled Pork Pie v2 (2)" sheetId="270" state="hidden" r:id="rId37"/>
    <sheet name="C&amp;S Pie" sheetId="239" state="hidden" r:id="rId38"/>
    <sheet name="Pulled Pork Pie" sheetId="237" state="hidden" r:id="rId39"/>
    <sheet name="Ham Hock Pie" sheetId="238" state="hidden" r:id="rId40"/>
    <sheet name="Purses" sheetId="252" state="hidden" r:id="rId41"/>
  </sheets>
  <definedNames>
    <definedName name="_xlnm.Print_Area" localSheetId="33">'C&amp;H Pie'!$A$1:$Q$48</definedName>
    <definedName name="_xlnm.Print_Area" localSheetId="9">'Pastry Costing'!$A$1:$M$32</definedName>
    <definedName name="_xlnm.Print_Area" localSheetId="2">'Sliced Ham'!$A$6:$G$49</definedName>
  </definedNames>
  <calcPr calcId="191029"/>
</workbook>
</file>

<file path=xl/calcChain.xml><?xml version="1.0" encoding="utf-8"?>
<calcChain xmlns="http://schemas.openxmlformats.org/spreadsheetml/2006/main">
  <c r="D61" i="277" l="1"/>
  <c r="C58" i="277"/>
  <c r="C57" i="277"/>
  <c r="D57" i="277" s="1"/>
  <c r="C49" i="277"/>
  <c r="C48" i="277"/>
  <c r="D48" i="277" s="1"/>
  <c r="C56" i="277"/>
  <c r="D56" i="277" s="1"/>
  <c r="F79" i="265"/>
  <c r="F78" i="265"/>
  <c r="H78" i="265" s="1"/>
  <c r="J78" i="265" s="1"/>
  <c r="K78" i="265" s="1"/>
  <c r="F75" i="265"/>
  <c r="F74" i="265"/>
  <c r="G75" i="265"/>
  <c r="G76" i="265"/>
  <c r="G77" i="265"/>
  <c r="G78" i="265"/>
  <c r="G79" i="265"/>
  <c r="I75" i="265"/>
  <c r="I76" i="265"/>
  <c r="I77" i="265"/>
  <c r="I78" i="265"/>
  <c r="I79" i="265"/>
  <c r="G74" i="265"/>
  <c r="I74" i="265"/>
  <c r="C57" i="276"/>
  <c r="D57" i="276" s="1"/>
  <c r="C48" i="276"/>
  <c r="D48" i="276" s="1"/>
  <c r="C58" i="276"/>
  <c r="D58" i="276" s="1"/>
  <c r="C49" i="276"/>
  <c r="C56" i="276"/>
  <c r="D59" i="276"/>
  <c r="D56" i="276"/>
  <c r="D59" i="277"/>
  <c r="J23" i="277"/>
  <c r="G23" i="277"/>
  <c r="D50" i="277"/>
  <c r="C39" i="277"/>
  <c r="D39" i="277" s="1"/>
  <c r="D30" i="277"/>
  <c r="C30" i="277"/>
  <c r="G22" i="277"/>
  <c r="G21" i="277"/>
  <c r="B21" i="277"/>
  <c r="D21" i="277" s="1"/>
  <c r="G20" i="277"/>
  <c r="D20" i="277"/>
  <c r="B20" i="277"/>
  <c r="J23" i="276"/>
  <c r="G21" i="276"/>
  <c r="G22" i="276" s="1"/>
  <c r="G23" i="276" s="1"/>
  <c r="G20" i="276"/>
  <c r="D50" i="276"/>
  <c r="C39" i="276"/>
  <c r="D39" i="276" s="1"/>
  <c r="D30" i="276"/>
  <c r="C30" i="276"/>
  <c r="B21" i="276"/>
  <c r="D21" i="276" s="1"/>
  <c r="B20" i="276"/>
  <c r="D20" i="276" s="1"/>
  <c r="F85" i="265"/>
  <c r="F84" i="265"/>
  <c r="G85" i="265"/>
  <c r="I85" i="265"/>
  <c r="F82" i="265"/>
  <c r="F81" i="265"/>
  <c r="F83" i="265"/>
  <c r="F80" i="265"/>
  <c r="G84" i="265"/>
  <c r="H84" i="265"/>
  <c r="J84" i="265" s="1"/>
  <c r="K84" i="265" s="1"/>
  <c r="I84" i="265"/>
  <c r="G83" i="265"/>
  <c r="I83" i="265"/>
  <c r="G82" i="265"/>
  <c r="I82" i="265"/>
  <c r="G81" i="265"/>
  <c r="H81" i="265" s="1"/>
  <c r="J81" i="265" s="1"/>
  <c r="K81" i="265" s="1"/>
  <c r="I81" i="265"/>
  <c r="G80" i="265"/>
  <c r="H80" i="265"/>
  <c r="J80" i="265" s="1"/>
  <c r="K80" i="265" s="1"/>
  <c r="I80" i="265"/>
  <c r="G73" i="265"/>
  <c r="I73" i="265"/>
  <c r="G72" i="265"/>
  <c r="I72" i="265"/>
  <c r="C30" i="275"/>
  <c r="D21" i="275"/>
  <c r="B21" i="275"/>
  <c r="B20" i="275"/>
  <c r="D20" i="275" s="1"/>
  <c r="D50" i="275"/>
  <c r="C48" i="275"/>
  <c r="D48" i="275" s="1"/>
  <c r="C39" i="275"/>
  <c r="D30" i="275"/>
  <c r="I54" i="274"/>
  <c r="I63" i="274"/>
  <c r="H60" i="274"/>
  <c r="I60" i="274" s="1"/>
  <c r="H59" i="274"/>
  <c r="H58" i="274"/>
  <c r="I58" i="274" s="1"/>
  <c r="I61" i="274"/>
  <c r="I59" i="274"/>
  <c r="I51" i="274"/>
  <c r="H49" i="274"/>
  <c r="C60" i="274"/>
  <c r="D60" i="274" s="1"/>
  <c r="C58" i="274"/>
  <c r="D58" i="274" s="1"/>
  <c r="C59" i="274"/>
  <c r="D59" i="274" s="1"/>
  <c r="D61" i="274"/>
  <c r="D54" i="274"/>
  <c r="H41" i="274"/>
  <c r="I41" i="274" s="1"/>
  <c r="I42" i="274" s="1"/>
  <c r="I40" i="274"/>
  <c r="H40" i="274"/>
  <c r="H31" i="274"/>
  <c r="H32" i="274"/>
  <c r="I32" i="274" s="1"/>
  <c r="I31" i="274"/>
  <c r="D24" i="274"/>
  <c r="D23" i="274"/>
  <c r="B23" i="274"/>
  <c r="B22" i="274"/>
  <c r="D22" i="274" s="1"/>
  <c r="B21" i="274"/>
  <c r="B20" i="274"/>
  <c r="D20" i="274" s="1"/>
  <c r="I52" i="274"/>
  <c r="D52" i="274"/>
  <c r="H50" i="274"/>
  <c r="I50" i="274" s="1"/>
  <c r="C50" i="274"/>
  <c r="D50" i="274" s="1"/>
  <c r="C41" i="274"/>
  <c r="C51" i="274" s="1"/>
  <c r="D51" i="274" s="1"/>
  <c r="D32" i="274"/>
  <c r="D21" i="274"/>
  <c r="N34" i="273"/>
  <c r="I34" i="273"/>
  <c r="D34" i="273"/>
  <c r="S22" i="273"/>
  <c r="S21" i="273"/>
  <c r="S20" i="273"/>
  <c r="G71" i="265"/>
  <c r="I71" i="265"/>
  <c r="G70" i="265"/>
  <c r="I70" i="265"/>
  <c r="G69" i="265"/>
  <c r="I69" i="265"/>
  <c r="G68" i="265"/>
  <c r="I68" i="265"/>
  <c r="G62" i="265"/>
  <c r="G63" i="265"/>
  <c r="G64" i="265"/>
  <c r="G65" i="265"/>
  <c r="G66" i="265"/>
  <c r="G67" i="265"/>
  <c r="I62" i="265"/>
  <c r="I63" i="265"/>
  <c r="I64" i="265"/>
  <c r="I65" i="265"/>
  <c r="I66" i="265"/>
  <c r="I67" i="265"/>
  <c r="G61" i="265"/>
  <c r="I61" i="265"/>
  <c r="I91" i="273"/>
  <c r="H90" i="273"/>
  <c r="I90" i="273" s="1"/>
  <c r="H89" i="273"/>
  <c r="I89" i="273" s="1"/>
  <c r="H88" i="273"/>
  <c r="I88" i="273" s="1"/>
  <c r="D91" i="273"/>
  <c r="D90" i="273"/>
  <c r="C90" i="273"/>
  <c r="C89" i="273"/>
  <c r="D89" i="273" s="1"/>
  <c r="D88" i="273"/>
  <c r="C88" i="273"/>
  <c r="I64" i="273"/>
  <c r="I63" i="273"/>
  <c r="D64" i="273"/>
  <c r="D63" i="273"/>
  <c r="I77" i="273"/>
  <c r="H76" i="273"/>
  <c r="I76" i="273" s="1"/>
  <c r="H75" i="273"/>
  <c r="I75" i="273" s="1"/>
  <c r="H74" i="273"/>
  <c r="I74" i="273" s="1"/>
  <c r="D77" i="273"/>
  <c r="C76" i="273"/>
  <c r="D76" i="273" s="1"/>
  <c r="C75" i="273"/>
  <c r="D75" i="273" s="1"/>
  <c r="C74" i="273"/>
  <c r="D74" i="273" s="1"/>
  <c r="I53" i="273"/>
  <c r="I52" i="273"/>
  <c r="H51" i="273"/>
  <c r="I51" i="273" s="1"/>
  <c r="I50" i="273"/>
  <c r="H49" i="273"/>
  <c r="I49" i="273" s="1"/>
  <c r="H48" i="273"/>
  <c r="I48" i="273" s="1"/>
  <c r="H46" i="273"/>
  <c r="I46" i="273" s="1"/>
  <c r="AM38" i="219"/>
  <c r="AL34" i="219"/>
  <c r="AM34" i="219" s="1"/>
  <c r="AL32" i="219"/>
  <c r="AL31" i="219"/>
  <c r="AL30" i="219"/>
  <c r="AL29" i="219"/>
  <c r="AM36" i="219"/>
  <c r="AM35" i="219"/>
  <c r="D53" i="273"/>
  <c r="D52" i="273"/>
  <c r="C51" i="273"/>
  <c r="D51" i="273" s="1"/>
  <c r="D50" i="273"/>
  <c r="C49" i="273"/>
  <c r="D49" i="273" s="1"/>
  <c r="C48" i="273"/>
  <c r="D48" i="273" s="1"/>
  <c r="C46" i="273"/>
  <c r="D46" i="273" s="1"/>
  <c r="AH36" i="219"/>
  <c r="AG34" i="219"/>
  <c r="AH34" i="219" s="1"/>
  <c r="AG32" i="219"/>
  <c r="AG31" i="219"/>
  <c r="AG30" i="219"/>
  <c r="AG29" i="219"/>
  <c r="AH35" i="219"/>
  <c r="N40" i="273"/>
  <c r="N39" i="273"/>
  <c r="N38" i="273"/>
  <c r="M37" i="273"/>
  <c r="N37" i="273" s="1"/>
  <c r="M36" i="273"/>
  <c r="N36" i="273" s="1"/>
  <c r="M35" i="273"/>
  <c r="N35" i="273" s="1"/>
  <c r="M33" i="273"/>
  <c r="N33" i="273" s="1"/>
  <c r="X36" i="219"/>
  <c r="X35" i="219"/>
  <c r="I40" i="273"/>
  <c r="I39" i="273"/>
  <c r="N36" i="219"/>
  <c r="N35" i="219"/>
  <c r="I38" i="273"/>
  <c r="H37" i="273"/>
  <c r="I37" i="273" s="1"/>
  <c r="H36" i="273"/>
  <c r="I36" i="273" s="1"/>
  <c r="I35" i="273"/>
  <c r="H33" i="273"/>
  <c r="I33" i="273" s="1"/>
  <c r="D40" i="273"/>
  <c r="D39" i="273"/>
  <c r="D38" i="273"/>
  <c r="C37" i="273"/>
  <c r="D37" i="273" s="1"/>
  <c r="C36" i="273"/>
  <c r="D36" i="273" s="1"/>
  <c r="C35" i="273"/>
  <c r="D35" i="273" s="1"/>
  <c r="C33" i="273"/>
  <c r="D33" i="273" s="1"/>
  <c r="L25" i="273"/>
  <c r="M23" i="273"/>
  <c r="N23" i="273" s="1"/>
  <c r="M22" i="273"/>
  <c r="N22" i="273" s="1"/>
  <c r="M21" i="273"/>
  <c r="N21" i="273" s="1"/>
  <c r="G25" i="273"/>
  <c r="H20" i="273"/>
  <c r="I20" i="273" s="1"/>
  <c r="B25" i="273"/>
  <c r="C24" i="273"/>
  <c r="D24" i="273" s="1"/>
  <c r="C23" i="273"/>
  <c r="D23" i="273" s="1"/>
  <c r="C22" i="273"/>
  <c r="D22" i="273" s="1"/>
  <c r="C21" i="273"/>
  <c r="D21" i="273" s="1"/>
  <c r="C20" i="273"/>
  <c r="D20" i="273" s="1"/>
  <c r="C56" i="219"/>
  <c r="C55" i="219"/>
  <c r="C45" i="219"/>
  <c r="C44" i="219"/>
  <c r="C43" i="219"/>
  <c r="C42" i="219"/>
  <c r="M44" i="219"/>
  <c r="M45" i="219"/>
  <c r="M46" i="219"/>
  <c r="W46" i="219"/>
  <c r="W45" i="219"/>
  <c r="W44" i="219"/>
  <c r="W33" i="219"/>
  <c r="W32" i="219"/>
  <c r="W31" i="219"/>
  <c r="W30" i="219"/>
  <c r="W29" i="219"/>
  <c r="R32" i="219"/>
  <c r="R31" i="219"/>
  <c r="R30" i="219"/>
  <c r="R29" i="219"/>
  <c r="R33" i="219"/>
  <c r="M33" i="219"/>
  <c r="M32" i="219"/>
  <c r="M30" i="219"/>
  <c r="M29" i="219"/>
  <c r="H32" i="219"/>
  <c r="H31" i="219"/>
  <c r="H30" i="219"/>
  <c r="H29" i="219"/>
  <c r="H33" i="219"/>
  <c r="C32" i="219"/>
  <c r="C31" i="219"/>
  <c r="C30" i="219"/>
  <c r="C29" i="219"/>
  <c r="C22" i="219"/>
  <c r="C21" i="219"/>
  <c r="C20" i="219"/>
  <c r="C19" i="219"/>
  <c r="C18" i="219"/>
  <c r="H18" i="219"/>
  <c r="M20" i="219"/>
  <c r="M18" i="219"/>
  <c r="F20" i="265"/>
  <c r="G20" i="265"/>
  <c r="I20" i="265"/>
  <c r="F21" i="265"/>
  <c r="G21" i="265"/>
  <c r="I21" i="265"/>
  <c r="F56" i="265"/>
  <c r="F55" i="265"/>
  <c r="F54" i="265"/>
  <c r="F60" i="265"/>
  <c r="F59" i="265"/>
  <c r="F58" i="265"/>
  <c r="F57" i="265"/>
  <c r="F53" i="265"/>
  <c r="G53" i="265"/>
  <c r="G54" i="265"/>
  <c r="G55" i="265"/>
  <c r="G56" i="265"/>
  <c r="G57" i="265"/>
  <c r="G58" i="265"/>
  <c r="G59" i="265"/>
  <c r="G60" i="265"/>
  <c r="I53" i="265"/>
  <c r="I54" i="265"/>
  <c r="I55" i="265"/>
  <c r="I56" i="265"/>
  <c r="I57" i="265"/>
  <c r="I58" i="265"/>
  <c r="I59" i="265"/>
  <c r="I60" i="265"/>
  <c r="F52" i="265"/>
  <c r="F51" i="265"/>
  <c r="F50" i="265"/>
  <c r="F49" i="265"/>
  <c r="F48" i="265"/>
  <c r="F47" i="265"/>
  <c r="F46" i="265"/>
  <c r="F45" i="265"/>
  <c r="F14" i="265"/>
  <c r="G14" i="265"/>
  <c r="G45" i="265"/>
  <c r="G46" i="265"/>
  <c r="G47" i="265"/>
  <c r="G48" i="265"/>
  <c r="G49" i="265"/>
  <c r="G50" i="265"/>
  <c r="G51" i="265"/>
  <c r="G52" i="265"/>
  <c r="I45" i="265"/>
  <c r="I46" i="265"/>
  <c r="I47" i="265"/>
  <c r="I48" i="265"/>
  <c r="I49" i="265"/>
  <c r="I50" i="265"/>
  <c r="I51" i="265"/>
  <c r="I52" i="265"/>
  <c r="D83" i="270"/>
  <c r="D82" i="270"/>
  <c r="D74" i="270"/>
  <c r="D73" i="270"/>
  <c r="I65" i="270"/>
  <c r="D65" i="270"/>
  <c r="H64" i="270"/>
  <c r="I64" i="270" s="1"/>
  <c r="H63" i="270"/>
  <c r="I63" i="270" s="1"/>
  <c r="D63" i="270"/>
  <c r="C63" i="270"/>
  <c r="C81" i="270" s="1"/>
  <c r="D81" i="270" s="1"/>
  <c r="N54" i="270"/>
  <c r="M54" i="270"/>
  <c r="H54" i="270"/>
  <c r="I54" i="270" s="1"/>
  <c r="D54" i="270"/>
  <c r="C54" i="270"/>
  <c r="C64" i="270" s="1"/>
  <c r="D64" i="270" s="1"/>
  <c r="I44" i="270"/>
  <c r="D44" i="270"/>
  <c r="C44" i="270"/>
  <c r="M43" i="270"/>
  <c r="N43" i="270" s="1"/>
  <c r="I43" i="270"/>
  <c r="H43" i="270"/>
  <c r="C43" i="270"/>
  <c r="D43" i="270" s="1"/>
  <c r="N35" i="270"/>
  <c r="M35" i="270"/>
  <c r="I35" i="270"/>
  <c r="H35" i="270"/>
  <c r="C35" i="270"/>
  <c r="D35" i="270" s="1"/>
  <c r="N34" i="270"/>
  <c r="M34" i="270"/>
  <c r="I34" i="270"/>
  <c r="H34" i="270"/>
  <c r="D34" i="270"/>
  <c r="C34" i="270"/>
  <c r="N33" i="270"/>
  <c r="M33" i="270"/>
  <c r="I33" i="270"/>
  <c r="H33" i="270"/>
  <c r="D33" i="270"/>
  <c r="C33" i="270"/>
  <c r="G24" i="270"/>
  <c r="B24" i="270"/>
  <c r="H23" i="270"/>
  <c r="I23" i="270" s="1"/>
  <c r="D23" i="270"/>
  <c r="C23" i="270"/>
  <c r="I22" i="270"/>
  <c r="H22" i="270"/>
  <c r="C22" i="270"/>
  <c r="D22" i="270" s="1"/>
  <c r="H21" i="270"/>
  <c r="I21" i="270" s="1"/>
  <c r="I24" i="270" s="1"/>
  <c r="I26" i="270" s="1"/>
  <c r="D21" i="270"/>
  <c r="C21" i="270"/>
  <c r="D20" i="270"/>
  <c r="C20" i="270"/>
  <c r="D56" i="236"/>
  <c r="M35" i="269"/>
  <c r="N35" i="269" s="1"/>
  <c r="H35" i="269"/>
  <c r="I35" i="269" s="1"/>
  <c r="C35" i="269"/>
  <c r="D35" i="269" s="1"/>
  <c r="C21" i="269"/>
  <c r="D21" i="269" s="1"/>
  <c r="D83" i="269"/>
  <c r="D82" i="269"/>
  <c r="D74" i="269"/>
  <c r="D73" i="269"/>
  <c r="I65" i="269"/>
  <c r="D65" i="269"/>
  <c r="H64" i="269"/>
  <c r="I64" i="269" s="1"/>
  <c r="C63" i="269"/>
  <c r="C72" i="269" s="1"/>
  <c r="D72" i="269" s="1"/>
  <c r="M54" i="269"/>
  <c r="N54" i="269" s="1"/>
  <c r="H54" i="269"/>
  <c r="I54" i="269" s="1"/>
  <c r="C54" i="269"/>
  <c r="C64" i="269" s="1"/>
  <c r="D64" i="269" s="1"/>
  <c r="I44" i="269"/>
  <c r="C44" i="269"/>
  <c r="D44" i="269" s="1"/>
  <c r="M43" i="269"/>
  <c r="N43" i="269" s="1"/>
  <c r="H43" i="269"/>
  <c r="I43" i="269" s="1"/>
  <c r="C43" i="269"/>
  <c r="D43" i="269" s="1"/>
  <c r="N34" i="269"/>
  <c r="M34" i="269"/>
  <c r="H34" i="269"/>
  <c r="I34" i="269" s="1"/>
  <c r="D34" i="269"/>
  <c r="C34" i="269"/>
  <c r="N33" i="269"/>
  <c r="M33" i="269"/>
  <c r="I33" i="269"/>
  <c r="H33" i="269"/>
  <c r="D33" i="269"/>
  <c r="C33" i="269"/>
  <c r="G24" i="269"/>
  <c r="B24" i="269"/>
  <c r="H23" i="269"/>
  <c r="I23" i="269" s="1"/>
  <c r="D23" i="269"/>
  <c r="C23" i="269"/>
  <c r="H22" i="269"/>
  <c r="I22" i="269" s="1"/>
  <c r="C22" i="269"/>
  <c r="D22" i="269" s="1"/>
  <c r="H21" i="269"/>
  <c r="I21" i="269" s="1"/>
  <c r="C20" i="269"/>
  <c r="D20" i="269" s="1"/>
  <c r="C22" i="268"/>
  <c r="D22" i="268" s="1"/>
  <c r="N34" i="268"/>
  <c r="I34" i="268"/>
  <c r="D34" i="268"/>
  <c r="M36" i="268"/>
  <c r="N36" i="268" s="1"/>
  <c r="H36" i="268"/>
  <c r="I36" i="268" s="1"/>
  <c r="D36" i="268"/>
  <c r="C36" i="268"/>
  <c r="M35" i="268"/>
  <c r="N35" i="268" s="1"/>
  <c r="H35" i="268"/>
  <c r="I35" i="268" s="1"/>
  <c r="C35" i="268"/>
  <c r="D35" i="268" s="1"/>
  <c r="M34" i="268"/>
  <c r="H34" i="268"/>
  <c r="C34" i="268"/>
  <c r="M33" i="268"/>
  <c r="N33" i="268" s="1"/>
  <c r="I33" i="268"/>
  <c r="H33" i="268"/>
  <c r="C33" i="268"/>
  <c r="D33" i="268" s="1"/>
  <c r="N30" i="228"/>
  <c r="M33" i="228"/>
  <c r="M32" i="228"/>
  <c r="M31" i="228"/>
  <c r="M30" i="228"/>
  <c r="M29" i="228"/>
  <c r="M28" i="228"/>
  <c r="H33" i="228"/>
  <c r="H32" i="228"/>
  <c r="H31" i="228"/>
  <c r="H30" i="228"/>
  <c r="H29" i="228"/>
  <c r="H28" i="228"/>
  <c r="C33" i="228"/>
  <c r="C32" i="228"/>
  <c r="C31" i="228"/>
  <c r="C29" i="228"/>
  <c r="C28" i="228"/>
  <c r="C20" i="268"/>
  <c r="D20" i="268" s="1"/>
  <c r="C23" i="268"/>
  <c r="D23" i="268" s="1"/>
  <c r="B24" i="268"/>
  <c r="D21" i="268"/>
  <c r="D83" i="268"/>
  <c r="D82" i="268"/>
  <c r="D74" i="268"/>
  <c r="D73" i="268"/>
  <c r="I65" i="268"/>
  <c r="D65" i="268"/>
  <c r="C63" i="268"/>
  <c r="C81" i="268" s="1"/>
  <c r="D81" i="268" s="1"/>
  <c r="M55" i="268"/>
  <c r="N55" i="268" s="1"/>
  <c r="H55" i="268"/>
  <c r="I55" i="268" s="1"/>
  <c r="C55" i="268"/>
  <c r="C64" i="268" s="1"/>
  <c r="D64" i="268" s="1"/>
  <c r="I45" i="268"/>
  <c r="C45" i="268"/>
  <c r="D45" i="268" s="1"/>
  <c r="M44" i="268"/>
  <c r="N44" i="268" s="1"/>
  <c r="H44" i="268"/>
  <c r="I44" i="268" s="1"/>
  <c r="C44" i="268"/>
  <c r="D44" i="268" s="1"/>
  <c r="G24" i="268"/>
  <c r="H23" i="268"/>
  <c r="I23" i="268" s="1"/>
  <c r="H22" i="268"/>
  <c r="I22" i="268" s="1"/>
  <c r="H21" i="268"/>
  <c r="I21" i="268" s="1"/>
  <c r="B22" i="228"/>
  <c r="C21" i="228"/>
  <c r="D21" i="228" s="1"/>
  <c r="C20" i="228"/>
  <c r="D20" i="228" s="1"/>
  <c r="D19" i="228"/>
  <c r="C18" i="228"/>
  <c r="D18" i="228" s="1"/>
  <c r="G38" i="265"/>
  <c r="I38" i="265"/>
  <c r="G39" i="265"/>
  <c r="I39" i="265"/>
  <c r="G40" i="265"/>
  <c r="I40" i="265"/>
  <c r="G37" i="265"/>
  <c r="G41" i="265"/>
  <c r="G42" i="265"/>
  <c r="G43" i="265"/>
  <c r="G44" i="265"/>
  <c r="I37" i="265"/>
  <c r="I41" i="265"/>
  <c r="I42" i="265"/>
  <c r="I43" i="265"/>
  <c r="I44" i="265"/>
  <c r="D83" i="263"/>
  <c r="D82" i="263"/>
  <c r="D74" i="263"/>
  <c r="D73" i="263"/>
  <c r="D82" i="262"/>
  <c r="D81" i="262"/>
  <c r="D73" i="262"/>
  <c r="D72" i="262"/>
  <c r="G29" i="265"/>
  <c r="G30" i="265"/>
  <c r="G31" i="265"/>
  <c r="G32" i="265"/>
  <c r="G33" i="265"/>
  <c r="G34" i="265"/>
  <c r="G35" i="265"/>
  <c r="G36" i="265"/>
  <c r="I29" i="265"/>
  <c r="I30" i="265"/>
  <c r="I31" i="265"/>
  <c r="I32" i="265"/>
  <c r="I33" i="265"/>
  <c r="I34" i="265"/>
  <c r="I35" i="265"/>
  <c r="I36" i="265"/>
  <c r="G10" i="265"/>
  <c r="I10" i="265"/>
  <c r="G11" i="265"/>
  <c r="I11" i="265"/>
  <c r="G25" i="265"/>
  <c r="G26" i="265"/>
  <c r="G27" i="265"/>
  <c r="G28" i="265"/>
  <c r="I25" i="265"/>
  <c r="I26" i="265"/>
  <c r="I27" i="265"/>
  <c r="I28" i="265"/>
  <c r="D82" i="261"/>
  <c r="D73" i="261"/>
  <c r="D72" i="261"/>
  <c r="G22" i="265"/>
  <c r="G23" i="265"/>
  <c r="G24" i="265"/>
  <c r="I22" i="265"/>
  <c r="I23" i="265"/>
  <c r="I24" i="265"/>
  <c r="I8" i="265"/>
  <c r="I9" i="265"/>
  <c r="I12" i="265"/>
  <c r="I13" i="265"/>
  <c r="I14" i="265"/>
  <c r="I15" i="265"/>
  <c r="I16" i="265"/>
  <c r="I17" i="265"/>
  <c r="I18" i="265"/>
  <c r="I19" i="265"/>
  <c r="I7" i="265"/>
  <c r="G12" i="265"/>
  <c r="G13" i="265"/>
  <c r="G15" i="265"/>
  <c r="G16" i="265"/>
  <c r="G17" i="265"/>
  <c r="G18" i="265"/>
  <c r="G19" i="265"/>
  <c r="G8" i="265"/>
  <c r="G9" i="265"/>
  <c r="G7" i="265"/>
  <c r="D82" i="229"/>
  <c r="D81" i="229"/>
  <c r="D80" i="229"/>
  <c r="C71" i="229"/>
  <c r="D71" i="229" s="1"/>
  <c r="D73" i="229"/>
  <c r="D72" i="229"/>
  <c r="H48" i="256"/>
  <c r="I48" i="256" s="1"/>
  <c r="I50" i="256"/>
  <c r="D50" i="264"/>
  <c r="C48" i="264"/>
  <c r="D48" i="264" s="1"/>
  <c r="C39" i="264"/>
  <c r="D39" i="264" s="1"/>
  <c r="D30" i="264"/>
  <c r="D21" i="264"/>
  <c r="D20" i="264"/>
  <c r="D30" i="256"/>
  <c r="D21" i="256"/>
  <c r="D20" i="256"/>
  <c r="D26" i="263"/>
  <c r="B23" i="263"/>
  <c r="M33" i="263"/>
  <c r="N33" i="263" s="1"/>
  <c r="H33" i="263"/>
  <c r="I33" i="263" s="1"/>
  <c r="C33" i="263"/>
  <c r="D33" i="263" s="1"/>
  <c r="H23" i="263"/>
  <c r="I23" i="263" s="1"/>
  <c r="I65" i="263"/>
  <c r="D65" i="263"/>
  <c r="C63" i="263"/>
  <c r="H63" i="263" s="1"/>
  <c r="I63" i="263" s="1"/>
  <c r="M54" i="263"/>
  <c r="N54" i="263" s="1"/>
  <c r="H54" i="263"/>
  <c r="I54" i="263" s="1"/>
  <c r="C54" i="263"/>
  <c r="D54" i="263" s="1"/>
  <c r="I44" i="263"/>
  <c r="C44" i="263"/>
  <c r="D44" i="263" s="1"/>
  <c r="M43" i="263"/>
  <c r="N43" i="263" s="1"/>
  <c r="H43" i="263"/>
  <c r="I43" i="263" s="1"/>
  <c r="C43" i="263"/>
  <c r="D43" i="263" s="1"/>
  <c r="M35" i="263"/>
  <c r="N35" i="263" s="1"/>
  <c r="H35" i="263"/>
  <c r="I35" i="263" s="1"/>
  <c r="C35" i="263"/>
  <c r="D35" i="263" s="1"/>
  <c r="G24" i="263"/>
  <c r="H22" i="263"/>
  <c r="I22" i="263" s="1"/>
  <c r="C22" i="263"/>
  <c r="D22" i="263" s="1"/>
  <c r="H21" i="263"/>
  <c r="I21" i="263" s="1"/>
  <c r="D21" i="263"/>
  <c r="C20" i="263"/>
  <c r="D20" i="263" s="1"/>
  <c r="I64" i="262"/>
  <c r="D64" i="262"/>
  <c r="C62" i="262"/>
  <c r="C80" i="262" s="1"/>
  <c r="D80" i="262" s="1"/>
  <c r="M53" i="262"/>
  <c r="N53" i="262" s="1"/>
  <c r="H53" i="262"/>
  <c r="I53" i="262" s="1"/>
  <c r="C53" i="262"/>
  <c r="D53" i="262" s="1"/>
  <c r="I43" i="262"/>
  <c r="C43" i="262"/>
  <c r="D43" i="262" s="1"/>
  <c r="M42" i="262"/>
  <c r="N42" i="262" s="1"/>
  <c r="H42" i="262"/>
  <c r="I42" i="262" s="1"/>
  <c r="C42" i="262"/>
  <c r="D42" i="262" s="1"/>
  <c r="M34" i="262"/>
  <c r="N34" i="262" s="1"/>
  <c r="H34" i="262"/>
  <c r="I34" i="262" s="1"/>
  <c r="C34" i="262"/>
  <c r="D34" i="262" s="1"/>
  <c r="G24" i="262"/>
  <c r="B24" i="262"/>
  <c r="H23" i="262"/>
  <c r="I23" i="262" s="1"/>
  <c r="D23" i="262"/>
  <c r="H22" i="262"/>
  <c r="I22" i="262" s="1"/>
  <c r="C22" i="262"/>
  <c r="D22" i="262" s="1"/>
  <c r="H21" i="262"/>
  <c r="I21" i="262" s="1"/>
  <c r="D21" i="262"/>
  <c r="C20" i="262"/>
  <c r="D20" i="262" s="1"/>
  <c r="B24" i="261"/>
  <c r="C23" i="261"/>
  <c r="D23" i="261" s="1"/>
  <c r="I64" i="261"/>
  <c r="D64" i="261"/>
  <c r="C62" i="261"/>
  <c r="H62" i="261" s="1"/>
  <c r="I62" i="261" s="1"/>
  <c r="M53" i="261"/>
  <c r="N53" i="261" s="1"/>
  <c r="H53" i="261"/>
  <c r="I53" i="261" s="1"/>
  <c r="C53" i="261"/>
  <c r="C63" i="261" s="1"/>
  <c r="D63" i="261" s="1"/>
  <c r="I43" i="261"/>
  <c r="C43" i="261"/>
  <c r="D43" i="261" s="1"/>
  <c r="M42" i="261"/>
  <c r="N42" i="261" s="1"/>
  <c r="H42" i="261"/>
  <c r="I42" i="261" s="1"/>
  <c r="C42" i="261"/>
  <c r="D42" i="261" s="1"/>
  <c r="M34" i="261"/>
  <c r="N34" i="261" s="1"/>
  <c r="H34" i="261"/>
  <c r="I34" i="261" s="1"/>
  <c r="C34" i="261"/>
  <c r="D34" i="261" s="1"/>
  <c r="G24" i="261"/>
  <c r="H23" i="261"/>
  <c r="I23" i="261" s="1"/>
  <c r="H22" i="261"/>
  <c r="I22" i="261" s="1"/>
  <c r="C22" i="261"/>
  <c r="D22" i="261" s="1"/>
  <c r="H21" i="261"/>
  <c r="I21" i="261" s="1"/>
  <c r="D21" i="261"/>
  <c r="C20" i="261"/>
  <c r="D20" i="261" s="1"/>
  <c r="M53" i="229"/>
  <c r="H53" i="229"/>
  <c r="M42" i="229"/>
  <c r="N42" i="229" s="1"/>
  <c r="H42" i="229"/>
  <c r="I42" i="229" s="1"/>
  <c r="C22" i="229"/>
  <c r="C20" i="229"/>
  <c r="D50" i="256"/>
  <c r="C48" i="256"/>
  <c r="C39" i="256"/>
  <c r="H49" i="256" s="1"/>
  <c r="I49" i="256" s="1"/>
  <c r="I64" i="229"/>
  <c r="C53" i="229"/>
  <c r="C43" i="229"/>
  <c r="D43" i="229" s="1"/>
  <c r="C42" i="229"/>
  <c r="D42" i="229" s="1"/>
  <c r="I43" i="229"/>
  <c r="H10" i="226"/>
  <c r="H9" i="226"/>
  <c r="H8" i="226"/>
  <c r="C10" i="226"/>
  <c r="C9" i="226"/>
  <c r="C8" i="226"/>
  <c r="H23" i="229"/>
  <c r="I23" i="229" s="1"/>
  <c r="H22" i="229"/>
  <c r="I22" i="229" s="1"/>
  <c r="H21" i="229"/>
  <c r="I21" i="229" s="1"/>
  <c r="G24" i="229"/>
  <c r="M34" i="229"/>
  <c r="N34" i="229" s="1"/>
  <c r="H34" i="229"/>
  <c r="C34" i="229"/>
  <c r="D34" i="229" s="1"/>
  <c r="D58" i="277" l="1"/>
  <c r="D60" i="277" s="1"/>
  <c r="H79" i="265"/>
  <c r="J79" i="265" s="1"/>
  <c r="K79" i="265" s="1"/>
  <c r="H75" i="265"/>
  <c r="J75" i="265" s="1"/>
  <c r="K75" i="265" s="1"/>
  <c r="H74" i="265"/>
  <c r="J74" i="265" s="1"/>
  <c r="K74" i="265" s="1"/>
  <c r="D60" i="276"/>
  <c r="D61" i="276" s="1"/>
  <c r="D22" i="277"/>
  <c r="C29" i="277" s="1"/>
  <c r="D29" i="277" s="1"/>
  <c r="D31" i="277" s="1"/>
  <c r="C38" i="277" s="1"/>
  <c r="D38" i="277" s="1"/>
  <c r="D40" i="277" s="1"/>
  <c r="C47" i="277" s="1"/>
  <c r="D47" i="277" s="1"/>
  <c r="D49" i="277"/>
  <c r="D22" i="276"/>
  <c r="C29" i="276" s="1"/>
  <c r="D29" i="276" s="1"/>
  <c r="D31" i="276" s="1"/>
  <c r="C38" i="276" s="1"/>
  <c r="D38" i="276" s="1"/>
  <c r="D40" i="276" s="1"/>
  <c r="C47" i="276" s="1"/>
  <c r="D47" i="276" s="1"/>
  <c r="D49" i="276"/>
  <c r="H85" i="265"/>
  <c r="J85" i="265" s="1"/>
  <c r="K85" i="265" s="1"/>
  <c r="H82" i="265"/>
  <c r="J82" i="265" s="1"/>
  <c r="K82" i="265" s="1"/>
  <c r="H83" i="265"/>
  <c r="J83" i="265" s="1"/>
  <c r="K83" i="265" s="1"/>
  <c r="D22" i="275"/>
  <c r="C49" i="275"/>
  <c r="D49" i="275" s="1"/>
  <c r="D39" i="275"/>
  <c r="I62" i="274"/>
  <c r="D62" i="274"/>
  <c r="D63" i="274" s="1"/>
  <c r="I33" i="274"/>
  <c r="C31" i="274"/>
  <c r="D31" i="274" s="1"/>
  <c r="D33" i="274" s="1"/>
  <c r="C40" i="274" s="1"/>
  <c r="D40" i="274" s="1"/>
  <c r="D41" i="274"/>
  <c r="H51" i="274"/>
  <c r="H20" i="265"/>
  <c r="J20" i="265" s="1"/>
  <c r="K20" i="265" s="1"/>
  <c r="H53" i="265"/>
  <c r="J53" i="265" s="1"/>
  <c r="K53" i="265" s="1"/>
  <c r="H56" i="265"/>
  <c r="J56" i="265" s="1"/>
  <c r="K56" i="265" s="1"/>
  <c r="H60" i="265"/>
  <c r="J60" i="265" s="1"/>
  <c r="K60" i="265" s="1"/>
  <c r="H49" i="265"/>
  <c r="J49" i="265" s="1"/>
  <c r="K49" i="265" s="1"/>
  <c r="H57" i="265"/>
  <c r="J57" i="265" s="1"/>
  <c r="K57" i="265" s="1"/>
  <c r="H21" i="265"/>
  <c r="J21" i="265" s="1"/>
  <c r="K21" i="265" s="1"/>
  <c r="H48" i="265"/>
  <c r="J48" i="265" s="1"/>
  <c r="K48" i="265" s="1"/>
  <c r="N25" i="273"/>
  <c r="N27" i="273" s="1"/>
  <c r="D25" i="273"/>
  <c r="H55" i="265"/>
  <c r="J55" i="265" s="1"/>
  <c r="K55" i="265" s="1"/>
  <c r="H51" i="265"/>
  <c r="J51" i="265" s="1"/>
  <c r="K51" i="265" s="1"/>
  <c r="H45" i="265"/>
  <c r="J45" i="265" s="1"/>
  <c r="K45" i="265" s="1"/>
  <c r="H14" i="265"/>
  <c r="H52" i="265"/>
  <c r="J52" i="265" s="1"/>
  <c r="K52" i="265" s="1"/>
  <c r="H58" i="265"/>
  <c r="J58" i="265" s="1"/>
  <c r="K58" i="265" s="1"/>
  <c r="H54" i="265"/>
  <c r="J54" i="265" s="1"/>
  <c r="K54" i="265" s="1"/>
  <c r="H59" i="265"/>
  <c r="J59" i="265" s="1"/>
  <c r="K59" i="265" s="1"/>
  <c r="H50" i="265"/>
  <c r="J50" i="265" s="1"/>
  <c r="K50" i="265" s="1"/>
  <c r="H47" i="265"/>
  <c r="J47" i="265" s="1"/>
  <c r="K47" i="265" s="1"/>
  <c r="H46" i="265"/>
  <c r="J46" i="265" s="1"/>
  <c r="K46" i="265" s="1"/>
  <c r="D24" i="270"/>
  <c r="D26" i="270" s="1"/>
  <c r="C72" i="270"/>
  <c r="D72" i="270" s="1"/>
  <c r="D24" i="269"/>
  <c r="D26" i="269" s="1"/>
  <c r="C32" i="269" s="1"/>
  <c r="D32" i="269" s="1"/>
  <c r="D36" i="269" s="1"/>
  <c r="C42" i="269" s="1"/>
  <c r="D42" i="269" s="1"/>
  <c r="D46" i="269" s="1"/>
  <c r="C53" i="269" s="1"/>
  <c r="D53" i="269" s="1"/>
  <c r="I24" i="269"/>
  <c r="I26" i="269" s="1"/>
  <c r="C81" i="269"/>
  <c r="D81" i="269" s="1"/>
  <c r="D54" i="269"/>
  <c r="D63" i="269"/>
  <c r="H63" i="269"/>
  <c r="I63" i="269" s="1"/>
  <c r="D22" i="228"/>
  <c r="D24" i="228" s="1"/>
  <c r="H64" i="268"/>
  <c r="I64" i="268" s="1"/>
  <c r="D24" i="268"/>
  <c r="D26" i="268" s="1"/>
  <c r="I24" i="268"/>
  <c r="I26" i="268" s="1"/>
  <c r="D55" i="268"/>
  <c r="D63" i="268"/>
  <c r="H63" i="268"/>
  <c r="I63" i="268" s="1"/>
  <c r="C72" i="268"/>
  <c r="D72" i="268" s="1"/>
  <c r="H63" i="261"/>
  <c r="I63" i="261" s="1"/>
  <c r="D62" i="262"/>
  <c r="H62" i="262"/>
  <c r="I62" i="262" s="1"/>
  <c r="C63" i="262"/>
  <c r="D63" i="262" s="1"/>
  <c r="I24" i="262"/>
  <c r="I26" i="262" s="1"/>
  <c r="H63" i="262"/>
  <c r="I63" i="262" s="1"/>
  <c r="D24" i="261"/>
  <c r="D26" i="261" s="1"/>
  <c r="C32" i="261" s="1"/>
  <c r="D32" i="261" s="1"/>
  <c r="C71" i="262"/>
  <c r="D71" i="262" s="1"/>
  <c r="C81" i="263"/>
  <c r="D81" i="263" s="1"/>
  <c r="D53" i="261"/>
  <c r="D22" i="256"/>
  <c r="D62" i="261"/>
  <c r="C71" i="261"/>
  <c r="D71" i="261" s="1"/>
  <c r="C80" i="261"/>
  <c r="D80" i="261" s="1"/>
  <c r="C72" i="263"/>
  <c r="D72" i="263" s="1"/>
  <c r="D81" i="261"/>
  <c r="D22" i="264"/>
  <c r="C49" i="264"/>
  <c r="D49" i="264" s="1"/>
  <c r="C49" i="256"/>
  <c r="D49" i="256" s="1"/>
  <c r="D39" i="256"/>
  <c r="D48" i="256"/>
  <c r="D63" i="263"/>
  <c r="I24" i="263"/>
  <c r="I26" i="263" s="1"/>
  <c r="C64" i="263"/>
  <c r="D64" i="263" s="1"/>
  <c r="H64" i="263"/>
  <c r="I64" i="263" s="1"/>
  <c r="D24" i="262"/>
  <c r="D26" i="262" s="1"/>
  <c r="I24" i="261"/>
  <c r="I26" i="261" s="1"/>
  <c r="I24" i="229"/>
  <c r="I26" i="229" s="1"/>
  <c r="I34" i="229"/>
  <c r="C31" i="235"/>
  <c r="D51" i="277" l="1"/>
  <c r="D52" i="277" s="1"/>
  <c r="F77" i="265"/>
  <c r="H77" i="265" s="1"/>
  <c r="J77" i="265" s="1"/>
  <c r="K77" i="265" s="1"/>
  <c r="D51" i="276"/>
  <c r="D52" i="276" s="1"/>
  <c r="D42" i="277"/>
  <c r="D42" i="276"/>
  <c r="C29" i="275"/>
  <c r="D29" i="275" s="1"/>
  <c r="D31" i="275" s="1"/>
  <c r="C38" i="275" s="1"/>
  <c r="D38" i="275" s="1"/>
  <c r="D40" i="275" s="1"/>
  <c r="F72" i="265" s="1"/>
  <c r="H72" i="265" s="1"/>
  <c r="J72" i="265" s="1"/>
  <c r="K72" i="265" s="1"/>
  <c r="D42" i="274"/>
  <c r="C49" i="274" s="1"/>
  <c r="D49" i="274" s="1"/>
  <c r="D53" i="274" s="1"/>
  <c r="I49" i="274"/>
  <c r="I53" i="274" s="1"/>
  <c r="D44" i="274"/>
  <c r="D27" i="273"/>
  <c r="H21" i="273"/>
  <c r="I21" i="273" s="1"/>
  <c r="I25" i="273" s="1"/>
  <c r="C32" i="270"/>
  <c r="D32" i="270" s="1"/>
  <c r="D36" i="270" s="1"/>
  <c r="C42" i="270" s="1"/>
  <c r="D42" i="270" s="1"/>
  <c r="D46" i="270" s="1"/>
  <c r="C53" i="270" s="1"/>
  <c r="D53" i="270" s="1"/>
  <c r="M32" i="270"/>
  <c r="N32" i="270" s="1"/>
  <c r="N36" i="270" s="1"/>
  <c r="M42" i="270" s="1"/>
  <c r="N42" i="270" s="1"/>
  <c r="N46" i="270" s="1"/>
  <c r="M53" i="270" s="1"/>
  <c r="N53" i="270" s="1"/>
  <c r="H32" i="270"/>
  <c r="I32" i="270" s="1"/>
  <c r="I36" i="270" s="1"/>
  <c r="H42" i="270" s="1"/>
  <c r="I42" i="270" s="1"/>
  <c r="I46" i="270" s="1"/>
  <c r="H53" i="270" s="1"/>
  <c r="I53" i="270" s="1"/>
  <c r="D57" i="269"/>
  <c r="M32" i="269"/>
  <c r="N32" i="269" s="1"/>
  <c r="N36" i="269" s="1"/>
  <c r="M42" i="269" s="1"/>
  <c r="N42" i="269" s="1"/>
  <c r="N46" i="269" s="1"/>
  <c r="M53" i="269" s="1"/>
  <c r="N53" i="269" s="1"/>
  <c r="N55" i="269" s="1"/>
  <c r="H32" i="269"/>
  <c r="I32" i="269" s="1"/>
  <c r="I36" i="269" s="1"/>
  <c r="H42" i="269" s="1"/>
  <c r="I42" i="269" s="1"/>
  <c r="I46" i="269" s="1"/>
  <c r="H53" i="269" s="1"/>
  <c r="I53" i="269" s="1"/>
  <c r="I55" i="269" s="1"/>
  <c r="H62" i="269" s="1"/>
  <c r="I62" i="269" s="1"/>
  <c r="I66" i="269" s="1"/>
  <c r="I67" i="269" s="1"/>
  <c r="N57" i="269"/>
  <c r="D55" i="269"/>
  <c r="M32" i="268"/>
  <c r="N32" i="268" s="1"/>
  <c r="N37" i="268" s="1"/>
  <c r="M43" i="268" s="1"/>
  <c r="N43" i="268" s="1"/>
  <c r="N47" i="268" s="1"/>
  <c r="M54" i="268" s="1"/>
  <c r="N54" i="268" s="1"/>
  <c r="H32" i="268"/>
  <c r="I32" i="268" s="1"/>
  <c r="C32" i="268"/>
  <c r="D32" i="268" s="1"/>
  <c r="C29" i="256"/>
  <c r="H47" i="256"/>
  <c r="I47" i="256" s="1"/>
  <c r="I51" i="256" s="1"/>
  <c r="C29" i="264"/>
  <c r="D29" i="264" s="1"/>
  <c r="D31" i="264" s="1"/>
  <c r="C38" i="264" s="1"/>
  <c r="D38" i="264" s="1"/>
  <c r="D29" i="256"/>
  <c r="C32" i="262"/>
  <c r="D32" i="262" s="1"/>
  <c r="M32" i="262"/>
  <c r="N32" i="262" s="1"/>
  <c r="H32" i="262"/>
  <c r="I32" i="262" s="1"/>
  <c r="M32" i="261"/>
  <c r="N32" i="261" s="1"/>
  <c r="H32" i="261"/>
  <c r="I32" i="261" s="1"/>
  <c r="C21" i="235"/>
  <c r="D21" i="235" s="1"/>
  <c r="C20" i="235"/>
  <c r="D20" i="235" s="1"/>
  <c r="D22" i="235"/>
  <c r="C10" i="235"/>
  <c r="C8" i="235"/>
  <c r="D8" i="235" s="1"/>
  <c r="C7" i="235"/>
  <c r="D7" i="235" s="1"/>
  <c r="D64" i="229"/>
  <c r="F76" i="265" l="1"/>
  <c r="H76" i="265" s="1"/>
  <c r="J76" i="265" s="1"/>
  <c r="K76" i="265" s="1"/>
  <c r="C47" i="275"/>
  <c r="D47" i="275" s="1"/>
  <c r="D51" i="275" s="1"/>
  <c r="D42" i="275"/>
  <c r="I27" i="273"/>
  <c r="I55" i="270"/>
  <c r="H62" i="270" s="1"/>
  <c r="I62" i="270" s="1"/>
  <c r="I66" i="270" s="1"/>
  <c r="I67" i="270" s="1"/>
  <c r="I57" i="270"/>
  <c r="N55" i="270"/>
  <c r="N57" i="270"/>
  <c r="D55" i="270"/>
  <c r="D57" i="270"/>
  <c r="I57" i="269"/>
  <c r="C80" i="269"/>
  <c r="D80" i="269" s="1"/>
  <c r="D84" i="269" s="1"/>
  <c r="D85" i="269" s="1"/>
  <c r="C62" i="269"/>
  <c r="D62" i="269" s="1"/>
  <c r="D66" i="269" s="1"/>
  <c r="D67" i="269" s="1"/>
  <c r="C71" i="269"/>
  <c r="D71" i="269" s="1"/>
  <c r="D75" i="269" s="1"/>
  <c r="D76" i="269" s="1"/>
  <c r="D37" i="268"/>
  <c r="C43" i="268" s="1"/>
  <c r="D43" i="268" s="1"/>
  <c r="D47" i="268" s="1"/>
  <c r="C54" i="268" s="1"/>
  <c r="D54" i="268" s="1"/>
  <c r="D56" i="268" s="1"/>
  <c r="C80" i="268" s="1"/>
  <c r="D80" i="268" s="1"/>
  <c r="D84" i="268" s="1"/>
  <c r="D85" i="268" s="1"/>
  <c r="I37" i="268"/>
  <c r="H43" i="268" s="1"/>
  <c r="I43" i="268" s="1"/>
  <c r="I47" i="268" s="1"/>
  <c r="H54" i="268" s="1"/>
  <c r="I54" i="268" s="1"/>
  <c r="I56" i="268" s="1"/>
  <c r="H62" i="268" s="1"/>
  <c r="I62" i="268" s="1"/>
  <c r="I66" i="268" s="1"/>
  <c r="I67" i="268" s="1"/>
  <c r="N56" i="268"/>
  <c r="N58" i="268"/>
  <c r="D15" i="235"/>
  <c r="D40" i="264"/>
  <c r="D42" i="264"/>
  <c r="F7" i="265"/>
  <c r="H7" i="265" s="1"/>
  <c r="J7" i="265" s="1"/>
  <c r="K7" i="265" s="1"/>
  <c r="I52" i="256"/>
  <c r="D10" i="235"/>
  <c r="C34" i="235"/>
  <c r="D31" i="256"/>
  <c r="C38" i="256" s="1"/>
  <c r="D38" i="256" s="1"/>
  <c r="D14" i="235"/>
  <c r="I7" i="235"/>
  <c r="I8" i="235"/>
  <c r="I10" i="235"/>
  <c r="D52" i="275" l="1"/>
  <c r="F73" i="265"/>
  <c r="H73" i="265" s="1"/>
  <c r="J73" i="265" s="1"/>
  <c r="K73" i="265" s="1"/>
  <c r="I47" i="273"/>
  <c r="I55" i="273" s="1"/>
  <c r="F68" i="265" s="1"/>
  <c r="H68" i="265" s="1"/>
  <c r="J68" i="265" s="1"/>
  <c r="K68" i="265" s="1"/>
  <c r="D47" i="273"/>
  <c r="D55" i="273" s="1"/>
  <c r="F67" i="265" s="1"/>
  <c r="H67" i="265" s="1"/>
  <c r="J67" i="265" s="1"/>
  <c r="K67" i="265" s="1"/>
  <c r="N42" i="273"/>
  <c r="I42" i="273"/>
  <c r="D42" i="273"/>
  <c r="H62" i="273" s="1"/>
  <c r="C62" i="270"/>
  <c r="D62" i="270" s="1"/>
  <c r="D66" i="270" s="1"/>
  <c r="D67" i="270" s="1"/>
  <c r="C71" i="270"/>
  <c r="D71" i="270" s="1"/>
  <c r="D75" i="270" s="1"/>
  <c r="D76" i="270" s="1"/>
  <c r="C80" i="270"/>
  <c r="D80" i="270" s="1"/>
  <c r="D84" i="270" s="1"/>
  <c r="D85" i="270" s="1"/>
  <c r="C71" i="268"/>
  <c r="D71" i="268" s="1"/>
  <c r="D75" i="268" s="1"/>
  <c r="D76" i="268" s="1"/>
  <c r="C62" i="268"/>
  <c r="D62" i="268" s="1"/>
  <c r="D66" i="268" s="1"/>
  <c r="D67" i="268" s="1"/>
  <c r="I58" i="268"/>
  <c r="D58" i="268"/>
  <c r="C47" i="264"/>
  <c r="D47" i="264" s="1"/>
  <c r="D51" i="264" s="1"/>
  <c r="F10" i="265"/>
  <c r="H10" i="265" s="1"/>
  <c r="J10" i="265" s="1"/>
  <c r="K10" i="265" s="1"/>
  <c r="D40" i="256"/>
  <c r="D42" i="256"/>
  <c r="C30" i="235"/>
  <c r="C19" i="235"/>
  <c r="D19" i="235" s="1"/>
  <c r="D26" i="235" s="1"/>
  <c r="J8" i="235"/>
  <c r="J10" i="235"/>
  <c r="J7" i="235"/>
  <c r="F71" i="265" l="1"/>
  <c r="H71" i="265" s="1"/>
  <c r="J71" i="265" s="1"/>
  <c r="K71" i="265" s="1"/>
  <c r="C87" i="273"/>
  <c r="D87" i="273" s="1"/>
  <c r="D96" i="273" s="1"/>
  <c r="D97" i="273" s="1"/>
  <c r="H87" i="273"/>
  <c r="I87" i="273" s="1"/>
  <c r="I96" i="273" s="1"/>
  <c r="I97" i="273" s="1"/>
  <c r="I62" i="273"/>
  <c r="I66" i="273" s="1"/>
  <c r="F62" i="265" s="1"/>
  <c r="H62" i="265" s="1"/>
  <c r="J62" i="265" s="1"/>
  <c r="K62" i="265" s="1"/>
  <c r="F70" i="265"/>
  <c r="H70" i="265" s="1"/>
  <c r="J70" i="265" s="1"/>
  <c r="K70" i="265" s="1"/>
  <c r="F69" i="265"/>
  <c r="H69" i="265" s="1"/>
  <c r="J69" i="265" s="1"/>
  <c r="K69" i="265" s="1"/>
  <c r="C62" i="273"/>
  <c r="D62" i="273" s="1"/>
  <c r="D66" i="273" s="1"/>
  <c r="F61" i="265" s="1"/>
  <c r="H61" i="265" s="1"/>
  <c r="J61" i="265" s="1"/>
  <c r="K61" i="265" s="1"/>
  <c r="C73" i="273"/>
  <c r="D73" i="273" s="1"/>
  <c r="D82" i="273" s="1"/>
  <c r="H73" i="273"/>
  <c r="I73" i="273" s="1"/>
  <c r="I82" i="273" s="1"/>
  <c r="I83" i="273" s="1"/>
  <c r="J15" i="235"/>
  <c r="C47" i="256"/>
  <c r="D47" i="256" s="1"/>
  <c r="D51" i="256" s="1"/>
  <c r="F9" i="265"/>
  <c r="H9" i="265" s="1"/>
  <c r="J9" i="265" s="1"/>
  <c r="K9" i="265" s="1"/>
  <c r="D52" i="264"/>
  <c r="F11" i="265"/>
  <c r="H11" i="265" s="1"/>
  <c r="J11" i="265" s="1"/>
  <c r="K11" i="265" s="1"/>
  <c r="D27" i="235"/>
  <c r="J14" i="235"/>
  <c r="I9" i="235" s="1"/>
  <c r="J9" i="235" s="1"/>
  <c r="F66" i="265" l="1"/>
  <c r="H66" i="265" s="1"/>
  <c r="J66" i="265" s="1"/>
  <c r="K66" i="265" s="1"/>
  <c r="F65" i="265"/>
  <c r="H65" i="265" s="1"/>
  <c r="J65" i="265" s="1"/>
  <c r="K65" i="265" s="1"/>
  <c r="F64" i="265"/>
  <c r="H64" i="265" s="1"/>
  <c r="J64" i="265" s="1"/>
  <c r="K64" i="265" s="1"/>
  <c r="D83" i="273"/>
  <c r="F63" i="265"/>
  <c r="H63" i="265" s="1"/>
  <c r="J63" i="265" s="1"/>
  <c r="K63" i="265" s="1"/>
  <c r="D52" i="256"/>
  <c r="F8" i="265"/>
  <c r="H8" i="265" s="1"/>
  <c r="J8" i="265" s="1"/>
  <c r="K8" i="265" s="1"/>
  <c r="C62" i="229" l="1"/>
  <c r="G23" i="251" l="1"/>
  <c r="B49" i="251"/>
  <c r="G46" i="251"/>
  <c r="B46" i="251"/>
  <c r="E44" i="251"/>
  <c r="B44" i="251"/>
  <c r="B47" i="251" s="1"/>
  <c r="F42" i="251" s="1"/>
  <c r="G42" i="251" s="1"/>
  <c r="B38" i="251"/>
  <c r="G35" i="251"/>
  <c r="B35" i="251"/>
  <c r="E33" i="251"/>
  <c r="B33" i="251"/>
  <c r="B36" i="251" s="1"/>
  <c r="F31" i="251" s="1"/>
  <c r="G31" i="251" s="1"/>
  <c r="B26" i="251"/>
  <c r="B23" i="251"/>
  <c r="E21" i="251"/>
  <c r="B21" i="251"/>
  <c r="B24" i="251" s="1"/>
  <c r="F19" i="251" s="1"/>
  <c r="G19" i="251" s="1"/>
  <c r="G12" i="251" l="1"/>
  <c r="F11" i="251"/>
  <c r="F10" i="251"/>
  <c r="F9" i="251"/>
  <c r="E10" i="251"/>
  <c r="B15" i="251"/>
  <c r="B12" i="251"/>
  <c r="B10" i="251"/>
  <c r="B13" i="251" s="1"/>
  <c r="F8" i="251" l="1"/>
  <c r="G8" i="251" s="1"/>
  <c r="B51" i="251"/>
  <c r="G10" i="251"/>
  <c r="G9" i="251"/>
  <c r="F20" i="251"/>
  <c r="G20" i="251" s="1"/>
  <c r="F43" i="251"/>
  <c r="G43" i="251" s="1"/>
  <c r="F32" i="251"/>
  <c r="G32" i="251" s="1"/>
  <c r="F21" i="251"/>
  <c r="G21" i="251" s="1"/>
  <c r="F44" i="251"/>
  <c r="G44" i="251" s="1"/>
  <c r="F33" i="251"/>
  <c r="G33" i="251" s="1"/>
  <c r="G11" i="251"/>
  <c r="F45" i="251"/>
  <c r="G45" i="251" s="1"/>
  <c r="F34" i="251"/>
  <c r="G34" i="251" s="1"/>
  <c r="F22" i="251"/>
  <c r="G22" i="251" s="1"/>
  <c r="G26" i="251" l="1"/>
  <c r="G15" i="251"/>
  <c r="G49" i="251"/>
  <c r="G38" i="251"/>
  <c r="L38" i="226"/>
  <c r="L37" i="226"/>
  <c r="G37" i="226"/>
  <c r="B37" i="226"/>
  <c r="C36" i="226"/>
  <c r="D36" i="226" s="1"/>
  <c r="C37" i="226" l="1"/>
  <c r="E30" i="226" s="1"/>
  <c r="G51" i="251"/>
  <c r="H36" i="226"/>
  <c r="H38" i="226" s="1"/>
  <c r="I38" i="226" s="1"/>
  <c r="C38" i="226"/>
  <c r="D38" i="226" s="1"/>
  <c r="I36" i="226" l="1"/>
  <c r="H37" i="226" s="1"/>
  <c r="E31" i="226" s="1"/>
  <c r="M36" i="226"/>
  <c r="D37" i="226"/>
  <c r="N36" i="226"/>
  <c r="N40" i="226" s="1"/>
  <c r="M39" i="226"/>
  <c r="M37" i="226" l="1"/>
  <c r="M38" i="226"/>
  <c r="I37" i="226"/>
  <c r="Q30" i="252" l="1"/>
  <c r="R10" i="252"/>
  <c r="R9" i="252"/>
  <c r="S9" i="252" s="1"/>
  <c r="R8" i="252"/>
  <c r="S8" i="252" s="1"/>
  <c r="R7" i="252"/>
  <c r="S7" i="252" s="1"/>
  <c r="R23" i="252"/>
  <c r="S23" i="252" s="1"/>
  <c r="Q14" i="252"/>
  <c r="S10" i="252"/>
  <c r="H9" i="252"/>
  <c r="H7" i="252"/>
  <c r="S14" i="252" l="1"/>
  <c r="S16" i="252" s="1"/>
  <c r="R21" i="252" s="1"/>
  <c r="S21" i="252" s="1"/>
  <c r="H10" i="252"/>
  <c r="I10" i="252" s="1"/>
  <c r="M10" i="252"/>
  <c r="N10" i="252" s="1"/>
  <c r="M8" i="252"/>
  <c r="N8" i="252" s="1"/>
  <c r="M7" i="252"/>
  <c r="L14" i="252"/>
  <c r="M9" i="252"/>
  <c r="N9" i="252" s="1"/>
  <c r="N7" i="252"/>
  <c r="G14" i="252"/>
  <c r="B14" i="252"/>
  <c r="I9" i="252"/>
  <c r="H8" i="252"/>
  <c r="I8" i="252" s="1"/>
  <c r="I7" i="252"/>
  <c r="C20" i="252"/>
  <c r="H20" i="252" s="1"/>
  <c r="C11" i="252"/>
  <c r="D11" i="252" s="1"/>
  <c r="C21" i="237"/>
  <c r="C7" i="252"/>
  <c r="D7" i="252" s="1"/>
  <c r="D10" i="252"/>
  <c r="C9" i="252"/>
  <c r="C8" i="252"/>
  <c r="D8" i="252" s="1"/>
  <c r="H48" i="232" l="1"/>
  <c r="H48" i="230"/>
  <c r="C32" i="237"/>
  <c r="M32" i="237" s="1"/>
  <c r="H63" i="229"/>
  <c r="C45" i="228"/>
  <c r="M23" i="252"/>
  <c r="N23" i="252" s="1"/>
  <c r="N14" i="252"/>
  <c r="N16" i="252" s="1"/>
  <c r="M21" i="252" s="1"/>
  <c r="N21" i="252" s="1"/>
  <c r="C34" i="231"/>
  <c r="C46" i="231" s="1"/>
  <c r="H47" i="231"/>
  <c r="C44" i="236"/>
  <c r="C22" i="252"/>
  <c r="D22" i="252" s="1"/>
  <c r="C34" i="239"/>
  <c r="C63" i="229"/>
  <c r="C35" i="232"/>
  <c r="C47" i="232" s="1"/>
  <c r="H22" i="252"/>
  <c r="I22" i="252" s="1"/>
  <c r="M20" i="252"/>
  <c r="R20" i="252" s="1"/>
  <c r="H51" i="230"/>
  <c r="H57" i="236"/>
  <c r="C37" i="230"/>
  <c r="H45" i="237"/>
  <c r="C23" i="252"/>
  <c r="D23" i="252" s="1"/>
  <c r="H45" i="228"/>
  <c r="H47" i="239"/>
  <c r="I20" i="252"/>
  <c r="I14" i="252"/>
  <c r="I16" i="252" s="1"/>
  <c r="H21" i="252" s="1"/>
  <c r="I21" i="252" s="1"/>
  <c r="D9" i="252"/>
  <c r="D14" i="252" s="1"/>
  <c r="D16" i="252" s="1"/>
  <c r="C19" i="248"/>
  <c r="C20" i="248"/>
  <c r="D20" i="248" s="1"/>
  <c r="I21" i="240"/>
  <c r="C20" i="240"/>
  <c r="C19" i="240"/>
  <c r="I18" i="240"/>
  <c r="C18" i="240"/>
  <c r="N22" i="234"/>
  <c r="I22" i="234"/>
  <c r="J26" i="240"/>
  <c r="D26" i="240"/>
  <c r="D38" i="240"/>
  <c r="C36" i="240"/>
  <c r="D36" i="240" s="1"/>
  <c r="D37" i="240"/>
  <c r="C20" i="241"/>
  <c r="H21" i="244"/>
  <c r="I21" i="244" s="1"/>
  <c r="I20" i="244"/>
  <c r="I19" i="244"/>
  <c r="B24" i="246"/>
  <c r="I9" i="245"/>
  <c r="H7" i="245"/>
  <c r="I7" i="245" s="1"/>
  <c r="I8" i="245"/>
  <c r="I37" i="243"/>
  <c r="H36" i="243"/>
  <c r="I36" i="243" s="1"/>
  <c r="I34" i="243"/>
  <c r="I35" i="243"/>
  <c r="H33" i="243"/>
  <c r="B37" i="242"/>
  <c r="B36" i="242"/>
  <c r="B35" i="242"/>
  <c r="B34" i="242"/>
  <c r="B33" i="242"/>
  <c r="B32" i="242"/>
  <c r="B25" i="238"/>
  <c r="B25" i="239"/>
  <c r="D21" i="239"/>
  <c r="C18" i="239"/>
  <c r="C19" i="239"/>
  <c r="C20" i="239"/>
  <c r="D20" i="239" s="1"/>
  <c r="C22" i="239"/>
  <c r="D22" i="239" s="1"/>
  <c r="C23" i="239"/>
  <c r="D23" i="239" s="1"/>
  <c r="C18" i="238"/>
  <c r="C19" i="238"/>
  <c r="D22" i="238"/>
  <c r="C21" i="238"/>
  <c r="D21" i="238" s="1"/>
  <c r="C23" i="238"/>
  <c r="D23" i="238" s="1"/>
  <c r="C18" i="237"/>
  <c r="C19" i="237"/>
  <c r="D21" i="237"/>
  <c r="C22" i="237"/>
  <c r="D22" i="237" s="1"/>
  <c r="B23" i="237"/>
  <c r="C23" i="244"/>
  <c r="D23" i="244" s="1"/>
  <c r="C18" i="244"/>
  <c r="I18" i="244"/>
  <c r="M19" i="244"/>
  <c r="N19" i="244" s="1"/>
  <c r="N20" i="244"/>
  <c r="N21" i="244"/>
  <c r="I33" i="228" l="1"/>
  <c r="H44" i="228"/>
  <c r="I44" i="228" s="1"/>
  <c r="D33" i="228"/>
  <c r="C44" i="237"/>
  <c r="H44" i="237"/>
  <c r="I44" i="237" s="1"/>
  <c r="H35" i="232"/>
  <c r="N33" i="228"/>
  <c r="R22" i="252"/>
  <c r="S22" i="252" s="1"/>
  <c r="S20" i="252"/>
  <c r="C46" i="239"/>
  <c r="H46" i="239"/>
  <c r="I46" i="239" s="1"/>
  <c r="M34" i="239"/>
  <c r="C56" i="236"/>
  <c r="H56" i="236"/>
  <c r="I56" i="236" s="1"/>
  <c r="M34" i="231"/>
  <c r="H34" i="231"/>
  <c r="H46" i="231"/>
  <c r="H47" i="232"/>
  <c r="M35" i="232"/>
  <c r="H37" i="230"/>
  <c r="M37" i="230"/>
  <c r="C50" i="230" a="1"/>
  <c r="C50" i="230" s="1"/>
  <c r="N20" i="252"/>
  <c r="M22" i="252"/>
  <c r="N22" i="252" s="1"/>
  <c r="C21" i="252"/>
  <c r="D21" i="252" s="1"/>
  <c r="I26" i="244"/>
  <c r="M18" i="244" s="1"/>
  <c r="N18" i="244" s="1"/>
  <c r="N26" i="244" s="1"/>
  <c r="S26" i="252" l="1"/>
  <c r="Q29" i="252" s="1"/>
  <c r="D20" i="252"/>
  <c r="D26" i="252" s="1"/>
  <c r="B29" i="252" s="1"/>
  <c r="N26" i="252"/>
  <c r="L29" i="252" s="1"/>
  <c r="I33" i="243"/>
  <c r="C18" i="250"/>
  <c r="D18" i="250" s="1"/>
  <c r="D22" i="250"/>
  <c r="J21" i="250"/>
  <c r="C21" i="250"/>
  <c r="D21" i="250" s="1"/>
  <c r="I20" i="250"/>
  <c r="J20" i="250" s="1"/>
  <c r="D20" i="250"/>
  <c r="I19" i="250"/>
  <c r="J19" i="250" s="1"/>
  <c r="D19" i="250"/>
  <c r="D22" i="249"/>
  <c r="J21" i="249"/>
  <c r="C21" i="249"/>
  <c r="D21" i="249" s="1"/>
  <c r="I20" i="249"/>
  <c r="J20" i="249" s="1"/>
  <c r="D20" i="249"/>
  <c r="I19" i="249"/>
  <c r="J19" i="249" s="1"/>
  <c r="D19" i="249"/>
  <c r="D18" i="249"/>
  <c r="D34" i="248"/>
  <c r="D31" i="248"/>
  <c r="D32" i="248"/>
  <c r="D30" i="248"/>
  <c r="D22" i="248"/>
  <c r="I31" i="248"/>
  <c r="J31" i="248" s="1"/>
  <c r="J33" i="248"/>
  <c r="C33" i="248"/>
  <c r="D33" i="248" s="1"/>
  <c r="I32" i="248"/>
  <c r="J32" i="248" s="1"/>
  <c r="I19" i="248"/>
  <c r="J19" i="248" s="1"/>
  <c r="C21" i="248"/>
  <c r="D21" i="248" s="1"/>
  <c r="J21" i="248"/>
  <c r="I20" i="248"/>
  <c r="J20" i="248" s="1"/>
  <c r="D19" i="248"/>
  <c r="D18" i="248"/>
  <c r="C34" i="247"/>
  <c r="D34" i="247" s="1"/>
  <c r="B33" i="247"/>
  <c r="B30" i="247"/>
  <c r="D35" i="247"/>
  <c r="D36" i="247"/>
  <c r="C32" i="247"/>
  <c r="D32" i="247" s="1"/>
  <c r="C23" i="247"/>
  <c r="C22" i="247"/>
  <c r="D22" i="247" s="1"/>
  <c r="C21" i="247"/>
  <c r="D21" i="247" s="1"/>
  <c r="C19" i="247"/>
  <c r="D19" i="247" s="1"/>
  <c r="C18" i="247"/>
  <c r="D18" i="247" s="1"/>
  <c r="B24" i="247"/>
  <c r="AM34" i="247"/>
  <c r="AH34" i="247"/>
  <c r="AL32" i="247"/>
  <c r="AM32" i="247" s="1"/>
  <c r="AG32" i="247"/>
  <c r="AH32" i="247" s="1"/>
  <c r="D20" i="247"/>
  <c r="I19" i="246"/>
  <c r="I20" i="246"/>
  <c r="C20" i="246"/>
  <c r="D20" i="246" s="1"/>
  <c r="C19" i="246"/>
  <c r="D19" i="246" s="1"/>
  <c r="C18" i="246"/>
  <c r="D18" i="246" s="1"/>
  <c r="D22" i="246"/>
  <c r="D21" i="246"/>
  <c r="D22" i="244"/>
  <c r="D20" i="244"/>
  <c r="D21" i="244"/>
  <c r="D35" i="244"/>
  <c r="C33" i="244"/>
  <c r="D33" i="244" s="1"/>
  <c r="C32" i="244"/>
  <c r="D32" i="244" s="1"/>
  <c r="D19" i="244"/>
  <c r="D18" i="244"/>
  <c r="C32" i="243"/>
  <c r="D32" i="243" s="1"/>
  <c r="C33" i="243"/>
  <c r="D33" i="243" s="1"/>
  <c r="M19" i="243"/>
  <c r="N19" i="243" s="1"/>
  <c r="N21" i="243"/>
  <c r="N20" i="243"/>
  <c r="I21" i="243"/>
  <c r="D35" i="243"/>
  <c r="H19" i="243"/>
  <c r="I19" i="243" s="1"/>
  <c r="C19" i="243"/>
  <c r="D19" i="243" s="1"/>
  <c r="C18" i="243"/>
  <c r="D18" i="243" s="1"/>
  <c r="D22" i="243"/>
  <c r="I20" i="243"/>
  <c r="I20" i="241"/>
  <c r="M20" i="241"/>
  <c r="N20" i="241" s="1"/>
  <c r="M19" i="241"/>
  <c r="N19" i="241" s="1"/>
  <c r="N22" i="241"/>
  <c r="N21" i="241"/>
  <c r="I19" i="241"/>
  <c r="C19" i="241"/>
  <c r="D19" i="241" s="1"/>
  <c r="D20" i="241"/>
  <c r="C21" i="241"/>
  <c r="D21" i="241" s="1"/>
  <c r="D22" i="241"/>
  <c r="C18" i="241"/>
  <c r="D18" i="241" s="1"/>
  <c r="D45" i="228"/>
  <c r="N46" i="219"/>
  <c r="X46" i="219"/>
  <c r="J28" i="240"/>
  <c r="H22" i="240"/>
  <c r="J21" i="240"/>
  <c r="C25" i="240"/>
  <c r="D25" i="240" s="1"/>
  <c r="C24" i="240"/>
  <c r="D24" i="240" s="1"/>
  <c r="B21" i="240"/>
  <c r="D27" i="240"/>
  <c r="I47" i="232"/>
  <c r="D47" i="232"/>
  <c r="I46" i="231"/>
  <c r="D46" i="231"/>
  <c r="I50" i="230"/>
  <c r="D50" i="230"/>
  <c r="I63" i="229"/>
  <c r="D63" i="229"/>
  <c r="X47" i="219"/>
  <c r="N47" i="219"/>
  <c r="D34" i="235"/>
  <c r="M20" i="234"/>
  <c r="N20" i="234" s="1"/>
  <c r="D35" i="234"/>
  <c r="D34" i="234"/>
  <c r="C33" i="234"/>
  <c r="D33" i="234" s="1"/>
  <c r="C32" i="234"/>
  <c r="D32" i="234" s="1"/>
  <c r="C31" i="234"/>
  <c r="D31" i="234" s="1"/>
  <c r="H19" i="234"/>
  <c r="I19" i="234" s="1"/>
  <c r="M19" i="234"/>
  <c r="N19" i="234" s="1"/>
  <c r="N21" i="234"/>
  <c r="I21" i="234"/>
  <c r="D20" i="234"/>
  <c r="B37" i="234"/>
  <c r="H20" i="234"/>
  <c r="I20" i="234" s="1"/>
  <c r="D33" i="235"/>
  <c r="C32" i="235"/>
  <c r="D31" i="235"/>
  <c r="AC48" i="219"/>
  <c r="AB47" i="219"/>
  <c r="AC47" i="219" s="1"/>
  <c r="AB46" i="219"/>
  <c r="AC46" i="219" s="1"/>
  <c r="AB45" i="219"/>
  <c r="AC45" i="219" s="1"/>
  <c r="AB44" i="219"/>
  <c r="AC44" i="219" s="1"/>
  <c r="AB43" i="219"/>
  <c r="AC43" i="219" s="1"/>
  <c r="D20" i="240"/>
  <c r="D19" i="240"/>
  <c r="D18" i="240"/>
  <c r="AB33" i="219"/>
  <c r="AC33" i="219" s="1"/>
  <c r="AM31" i="219"/>
  <c r="AH31" i="219"/>
  <c r="AB31" i="219"/>
  <c r="AC31" i="219" s="1"/>
  <c r="X31" i="219"/>
  <c r="S31" i="219"/>
  <c r="N31" i="219"/>
  <c r="AC34" i="219"/>
  <c r="S33" i="219"/>
  <c r="S34" i="219"/>
  <c r="N18" i="219"/>
  <c r="N20" i="219"/>
  <c r="L23" i="219"/>
  <c r="X44" i="219"/>
  <c r="X45" i="219"/>
  <c r="N45" i="219"/>
  <c r="N44" i="219"/>
  <c r="I31" i="219"/>
  <c r="I36" i="219"/>
  <c r="I35" i="219"/>
  <c r="I34" i="219"/>
  <c r="D35" i="219"/>
  <c r="D34" i="219"/>
  <c r="D33" i="219"/>
  <c r="D48" i="219"/>
  <c r="D47" i="219"/>
  <c r="D46" i="219"/>
  <c r="D89" i="219"/>
  <c r="D88" i="219"/>
  <c r="D87" i="219"/>
  <c r="D76" i="219"/>
  <c r="D75" i="219"/>
  <c r="D74" i="219"/>
  <c r="D62" i="219"/>
  <c r="D61" i="219"/>
  <c r="D60" i="219"/>
  <c r="AM33" i="219"/>
  <c r="AH33" i="219"/>
  <c r="X33" i="219"/>
  <c r="N33" i="219"/>
  <c r="I33" i="219"/>
  <c r="C86" i="219"/>
  <c r="D86" i="219" s="1"/>
  <c r="C85" i="219"/>
  <c r="D85" i="219" s="1"/>
  <c r="C73" i="219"/>
  <c r="D73" i="219" s="1"/>
  <c r="C72" i="219"/>
  <c r="D72" i="219" s="1"/>
  <c r="C71" i="219"/>
  <c r="D71" i="219" s="1"/>
  <c r="C59" i="219"/>
  <c r="D59" i="219" s="1"/>
  <c r="D32" i="219"/>
  <c r="D45" i="219"/>
  <c r="D31" i="219"/>
  <c r="C58" i="219"/>
  <c r="D58" i="219" s="1"/>
  <c r="D57" i="219"/>
  <c r="X34" i="219"/>
  <c r="N34" i="219"/>
  <c r="G23" i="219"/>
  <c r="I18" i="219"/>
  <c r="B23" i="219"/>
  <c r="D22" i="219"/>
  <c r="D21" i="219"/>
  <c r="D20" i="219"/>
  <c r="D19" i="219"/>
  <c r="D18" i="219"/>
  <c r="C43" i="236"/>
  <c r="D43" i="236" s="1"/>
  <c r="C45" i="236"/>
  <c r="D45" i="236" s="1"/>
  <c r="C55" i="236"/>
  <c r="H55" i="236" s="1"/>
  <c r="I55" i="236" s="1"/>
  <c r="D44" i="236"/>
  <c r="C42" i="236"/>
  <c r="D42" i="236" s="1"/>
  <c r="C20" i="236"/>
  <c r="D20" i="236" s="1"/>
  <c r="B23" i="236"/>
  <c r="C21" i="236"/>
  <c r="D21" i="236" s="1"/>
  <c r="D19" i="236"/>
  <c r="C18" i="236"/>
  <c r="D18" i="236" s="1"/>
  <c r="I48" i="239"/>
  <c r="I47" i="239"/>
  <c r="D46" i="239"/>
  <c r="C45" i="239"/>
  <c r="D45" i="239" s="1"/>
  <c r="I44" i="239"/>
  <c r="C44" i="239"/>
  <c r="D44" i="239" s="1"/>
  <c r="C43" i="239"/>
  <c r="H43" i="239" s="1"/>
  <c r="I43" i="239" s="1"/>
  <c r="N34" i="239"/>
  <c r="H34" i="239"/>
  <c r="I34" i="239" s="1"/>
  <c r="D34" i="239"/>
  <c r="M33" i="239"/>
  <c r="N33" i="239" s="1"/>
  <c r="H33" i="239"/>
  <c r="I33" i="239" s="1"/>
  <c r="C33" i="239"/>
  <c r="D33" i="239" s="1"/>
  <c r="D19" i="239"/>
  <c r="D18" i="239"/>
  <c r="I48" i="238"/>
  <c r="I47" i="238"/>
  <c r="I46" i="238"/>
  <c r="D46" i="238"/>
  <c r="C45" i="238"/>
  <c r="D45" i="238" s="1"/>
  <c r="I44" i="238"/>
  <c r="C44" i="238"/>
  <c r="D44" i="238" s="1"/>
  <c r="C43" i="238"/>
  <c r="H43" i="238" s="1"/>
  <c r="I43" i="238" s="1"/>
  <c r="N34" i="238"/>
  <c r="H34" i="238"/>
  <c r="I34" i="238" s="1"/>
  <c r="D34" i="238"/>
  <c r="M33" i="238"/>
  <c r="N33" i="238" s="1"/>
  <c r="H33" i="238"/>
  <c r="I33" i="238" s="1"/>
  <c r="C33" i="238"/>
  <c r="D33" i="238" s="1"/>
  <c r="C20" i="238"/>
  <c r="D20" i="238" s="1"/>
  <c r="D19" i="238"/>
  <c r="D18" i="238"/>
  <c r="I46" i="237"/>
  <c r="I45" i="237"/>
  <c r="D44" i="237"/>
  <c r="C43" i="237"/>
  <c r="D43" i="237" s="1"/>
  <c r="I42" i="237"/>
  <c r="C42" i="237"/>
  <c r="D42" i="237" s="1"/>
  <c r="C41" i="237"/>
  <c r="H41" i="237" s="1"/>
  <c r="I41" i="237" s="1"/>
  <c r="N32" i="237"/>
  <c r="H32" i="237"/>
  <c r="I32" i="237" s="1"/>
  <c r="D32" i="237"/>
  <c r="M31" i="237"/>
  <c r="N31" i="237" s="1"/>
  <c r="H31" i="237"/>
  <c r="I31" i="237" s="1"/>
  <c r="C31" i="237"/>
  <c r="D31" i="237" s="1"/>
  <c r="D20" i="237"/>
  <c r="D19" i="237"/>
  <c r="D18" i="237"/>
  <c r="I58" i="236"/>
  <c r="I57" i="236"/>
  <c r="I54" i="236"/>
  <c r="C54" i="236"/>
  <c r="D54" i="236" s="1"/>
  <c r="C53" i="236"/>
  <c r="D53" i="236" s="1"/>
  <c r="N33" i="236"/>
  <c r="H33" i="236"/>
  <c r="I33" i="236" s="1"/>
  <c r="D33" i="236"/>
  <c r="M32" i="236"/>
  <c r="N32" i="236" s="1"/>
  <c r="H32" i="236"/>
  <c r="I32" i="236" s="1"/>
  <c r="C32" i="236"/>
  <c r="D32" i="236" s="1"/>
  <c r="M31" i="236"/>
  <c r="N31" i="236" s="1"/>
  <c r="C31" i="236"/>
  <c r="H31" i="236" s="1"/>
  <c r="I31" i="236" s="1"/>
  <c r="N35" i="232"/>
  <c r="I35" i="232"/>
  <c r="M33" i="232"/>
  <c r="N33" i="232" s="1"/>
  <c r="H33" i="232"/>
  <c r="I33" i="232" s="1"/>
  <c r="C18" i="232"/>
  <c r="D18" i="232" s="1"/>
  <c r="C46" i="232"/>
  <c r="D46" i="232" s="1"/>
  <c r="C45" i="232"/>
  <c r="D45" i="232" s="1"/>
  <c r="C44" i="232"/>
  <c r="H44" i="232" s="1"/>
  <c r="I44" i="232" s="1"/>
  <c r="I49" i="232"/>
  <c r="I48" i="232"/>
  <c r="I45" i="232"/>
  <c r="D35" i="232"/>
  <c r="C33" i="232"/>
  <c r="D33" i="232" s="1"/>
  <c r="C31" i="232"/>
  <c r="D31" i="232" s="1"/>
  <c r="B23" i="232"/>
  <c r="D20" i="232"/>
  <c r="D19" i="232"/>
  <c r="M33" i="231"/>
  <c r="N33" i="231" s="1"/>
  <c r="H33" i="231"/>
  <c r="I33" i="231" s="1"/>
  <c r="C45" i="231"/>
  <c r="D45" i="231" s="1"/>
  <c r="C44" i="231"/>
  <c r="D44" i="231" s="1"/>
  <c r="C33" i="231"/>
  <c r="D33" i="231" s="1"/>
  <c r="I48" i="231"/>
  <c r="I47" i="231"/>
  <c r="I44" i="231"/>
  <c r="C43" i="231"/>
  <c r="H43" i="231" s="1"/>
  <c r="I43" i="231" s="1"/>
  <c r="N34" i="231"/>
  <c r="I34" i="231"/>
  <c r="D34" i="231"/>
  <c r="M32" i="231"/>
  <c r="N32" i="231" s="1"/>
  <c r="C32" i="231"/>
  <c r="D32" i="231" s="1"/>
  <c r="D19" i="231"/>
  <c r="C20" i="231"/>
  <c r="C21" i="231"/>
  <c r="D21" i="231" s="1"/>
  <c r="C18" i="231"/>
  <c r="N37" i="230"/>
  <c r="M35" i="230"/>
  <c r="N35" i="230" s="1"/>
  <c r="I37" i="230"/>
  <c r="H35" i="230"/>
  <c r="I35" i="230" s="1"/>
  <c r="C49" i="230"/>
  <c r="D49" i="230" s="1"/>
  <c r="C48" i="230"/>
  <c r="D48" i="230" s="1"/>
  <c r="C47" i="230"/>
  <c r="D47" i="230" s="1"/>
  <c r="I52" i="230"/>
  <c r="I51" i="230"/>
  <c r="I48" i="230"/>
  <c r="D37" i="230"/>
  <c r="C35" i="230"/>
  <c r="D35" i="230" s="1"/>
  <c r="C18" i="230"/>
  <c r="B24" i="230"/>
  <c r="C21" i="230"/>
  <c r="C19" i="230"/>
  <c r="D19" i="230" s="1"/>
  <c r="I46" i="228"/>
  <c r="I45" i="228"/>
  <c r="I42" i="228"/>
  <c r="N53" i="229"/>
  <c r="P30" i="252" l="1"/>
  <c r="S30" i="252" s="1"/>
  <c r="D39" i="244"/>
  <c r="I53" i="229"/>
  <c r="H23" i="252"/>
  <c r="I23" i="252" s="1"/>
  <c r="I26" i="252" s="1"/>
  <c r="G29" i="252" s="1"/>
  <c r="D24" i="246"/>
  <c r="D26" i="246" s="1"/>
  <c r="H18" i="246" s="1"/>
  <c r="I18" i="246" s="1"/>
  <c r="I26" i="246" s="1"/>
  <c r="D14" i="245"/>
  <c r="H6" i="245" s="1"/>
  <c r="I6" i="245" s="1"/>
  <c r="I14" i="245" s="1"/>
  <c r="D25" i="238"/>
  <c r="D27" i="238" s="1"/>
  <c r="C31" i="238" s="1"/>
  <c r="M31" i="238" s="1"/>
  <c r="N31" i="238" s="1"/>
  <c r="D25" i="239"/>
  <c r="D27" i="239" s="1"/>
  <c r="C31" i="239" s="1"/>
  <c r="D31" i="239" s="1"/>
  <c r="D26" i="250"/>
  <c r="I18" i="250" s="1"/>
  <c r="J18" i="250" s="1"/>
  <c r="J26" i="250" s="1"/>
  <c r="J27" i="250" s="1"/>
  <c r="AC52" i="219"/>
  <c r="D23" i="237"/>
  <c r="D25" i="237" s="1"/>
  <c r="C29" i="237" s="1"/>
  <c r="D29" i="237" s="1"/>
  <c r="I27" i="240"/>
  <c r="J27" i="240" s="1"/>
  <c r="D26" i="249"/>
  <c r="I18" i="249" s="1"/>
  <c r="J18" i="249" s="1"/>
  <c r="J26" i="249" s="1"/>
  <c r="J27" i="249" s="1"/>
  <c r="D26" i="248"/>
  <c r="I18" i="248" s="1"/>
  <c r="J18" i="248" s="1"/>
  <c r="J26" i="248" s="1"/>
  <c r="J27" i="248" s="1"/>
  <c r="D37" i="248"/>
  <c r="I30" i="248" s="1"/>
  <c r="J30" i="248" s="1"/>
  <c r="J37" i="248" s="1"/>
  <c r="J38" i="248" s="1"/>
  <c r="D43" i="238"/>
  <c r="I25" i="240"/>
  <c r="J25" i="240" s="1"/>
  <c r="D39" i="243"/>
  <c r="D40" i="243" s="1"/>
  <c r="H32" i="243" s="1"/>
  <c r="I32" i="243" s="1"/>
  <c r="I39" i="243" s="1"/>
  <c r="I40" i="243" s="1"/>
  <c r="I20" i="240"/>
  <c r="J20" i="240" s="1"/>
  <c r="I19" i="240"/>
  <c r="J19" i="240" s="1"/>
  <c r="J18" i="240"/>
  <c r="D24" i="247"/>
  <c r="D26" i="247" s="1"/>
  <c r="C31" i="247" s="1"/>
  <c r="D31" i="247" s="1"/>
  <c r="D26" i="244"/>
  <c r="D26" i="243"/>
  <c r="H18" i="243" s="1"/>
  <c r="D26" i="241"/>
  <c r="D21" i="240"/>
  <c r="D22" i="240" s="1"/>
  <c r="D23" i="219"/>
  <c r="D25" i="219" s="1"/>
  <c r="H47" i="230"/>
  <c r="I47" i="230" s="1"/>
  <c r="D43" i="239"/>
  <c r="D41" i="237"/>
  <c r="D23" i="236"/>
  <c r="D25" i="236" s="1"/>
  <c r="D31" i="236"/>
  <c r="D55" i="236"/>
  <c r="H45" i="239"/>
  <c r="I45" i="239" s="1"/>
  <c r="H45" i="238"/>
  <c r="I45" i="238" s="1"/>
  <c r="H43" i="237"/>
  <c r="I43" i="237" s="1"/>
  <c r="H53" i="236"/>
  <c r="I53" i="236" s="1"/>
  <c r="D44" i="232"/>
  <c r="M31" i="232"/>
  <c r="N31" i="232" s="1"/>
  <c r="H31" i="232"/>
  <c r="I31" i="232" s="1"/>
  <c r="H46" i="232"/>
  <c r="I46" i="232" s="1"/>
  <c r="D23" i="232"/>
  <c r="D43" i="231"/>
  <c r="H32" i="231"/>
  <c r="I32" i="231" s="1"/>
  <c r="H45" i="231"/>
  <c r="I45" i="231" s="1"/>
  <c r="H49" i="230"/>
  <c r="I49" i="230" s="1"/>
  <c r="D53" i="229"/>
  <c r="E32" i="226"/>
  <c r="C19" i="234"/>
  <c r="C18" i="234"/>
  <c r="D44" i="228"/>
  <c r="N29" i="228"/>
  <c r="N31" i="228"/>
  <c r="I31" i="228"/>
  <c r="C43" i="228"/>
  <c r="C42" i="228"/>
  <c r="D42" i="228" s="1"/>
  <c r="C41" i="228"/>
  <c r="H41" i="228" s="1"/>
  <c r="I41" i="228" s="1"/>
  <c r="D31" i="228"/>
  <c r="B12" i="226"/>
  <c r="H19" i="219" l="1"/>
  <c r="I19" i="219" s="1"/>
  <c r="I23" i="219" s="1"/>
  <c r="I25" i="219" s="1"/>
  <c r="D25" i="232"/>
  <c r="H30" i="232" s="1"/>
  <c r="I30" i="232" s="1"/>
  <c r="J22" i="240"/>
  <c r="J23" i="240" s="1"/>
  <c r="I24" i="240" s="1"/>
  <c r="J24" i="240" s="1"/>
  <c r="J31" i="240" s="1"/>
  <c r="M29" i="237"/>
  <c r="N29" i="237" s="1"/>
  <c r="H29" i="237"/>
  <c r="I29" i="237" s="1"/>
  <c r="D31" i="238"/>
  <c r="H31" i="239"/>
  <c r="I31" i="239" s="1"/>
  <c r="H31" i="238"/>
  <c r="I31" i="238" s="1"/>
  <c r="H18" i="241"/>
  <c r="I18" i="241" s="1"/>
  <c r="I26" i="241" s="1"/>
  <c r="M18" i="241"/>
  <c r="N18" i="241" s="1"/>
  <c r="N26" i="241" s="1"/>
  <c r="N27" i="241" s="1"/>
  <c r="C23" i="240"/>
  <c r="D23" i="240" s="1"/>
  <c r="D30" i="240" s="1"/>
  <c r="C35" i="240" s="1"/>
  <c r="D35" i="240" s="1"/>
  <c r="D43" i="240" s="1"/>
  <c r="D44" i="219"/>
  <c r="AG31" i="247"/>
  <c r="AH31" i="247" s="1"/>
  <c r="AL31" i="247"/>
  <c r="AM31" i="247" s="1"/>
  <c r="I18" i="243"/>
  <c r="D62" i="229"/>
  <c r="H62" i="229"/>
  <c r="I62" i="229" s="1"/>
  <c r="C29" i="236"/>
  <c r="H29" i="236" s="1"/>
  <c r="I29" i="236" s="1"/>
  <c r="C40" i="236"/>
  <c r="M31" i="239"/>
  <c r="N31" i="239" s="1"/>
  <c r="D43" i="228"/>
  <c r="H43" i="228"/>
  <c r="I43" i="228" s="1"/>
  <c r="D32" i="235"/>
  <c r="D19" i="234"/>
  <c r="M34" i="232"/>
  <c r="N34" i="232" s="1"/>
  <c r="H34" i="232"/>
  <c r="I34" i="232" s="1"/>
  <c r="C34" i="232"/>
  <c r="D34" i="232" s="1"/>
  <c r="D41" i="228"/>
  <c r="B23" i="231"/>
  <c r="D20" i="231"/>
  <c r="M36" i="230"/>
  <c r="N36" i="230" s="1"/>
  <c r="H36" i="230"/>
  <c r="I36" i="230" s="1"/>
  <c r="C36" i="230"/>
  <c r="D36" i="230" s="1"/>
  <c r="D21" i="230"/>
  <c r="D20" i="230"/>
  <c r="B23" i="229"/>
  <c r="D22" i="229"/>
  <c r="D21" i="229"/>
  <c r="N32" i="228"/>
  <c r="I32" i="228"/>
  <c r="I29" i="228"/>
  <c r="D32" i="228"/>
  <c r="D29" i="228"/>
  <c r="M19" i="219" l="1"/>
  <c r="N19" i="219" s="1"/>
  <c r="N23" i="219" s="1"/>
  <c r="N25" i="219" s="1"/>
  <c r="S30" i="219" s="1"/>
  <c r="AH30" i="219"/>
  <c r="AM30" i="219"/>
  <c r="N30" i="219"/>
  <c r="I30" i="219"/>
  <c r="D43" i="219"/>
  <c r="C70" i="219"/>
  <c r="D70" i="219" s="1"/>
  <c r="X30" i="219"/>
  <c r="D30" i="219"/>
  <c r="D56" i="219"/>
  <c r="C84" i="219"/>
  <c r="D84" i="219" s="1"/>
  <c r="C30" i="232"/>
  <c r="D30" i="232" s="1"/>
  <c r="M30" i="232"/>
  <c r="N30" i="232" s="1"/>
  <c r="M29" i="236"/>
  <c r="N29" i="236" s="1"/>
  <c r="I26" i="243"/>
  <c r="M18" i="243" s="1"/>
  <c r="N18" i="243" s="1"/>
  <c r="N26" i="243" s="1"/>
  <c r="N27" i="243" s="1"/>
  <c r="D29" i="236"/>
  <c r="D40" i="236"/>
  <c r="AB30" i="219" l="1"/>
  <c r="AC30" i="219" s="1"/>
  <c r="G12" i="226"/>
  <c r="I10" i="226"/>
  <c r="I9" i="226"/>
  <c r="I8" i="226"/>
  <c r="D10" i="226"/>
  <c r="D8" i="226"/>
  <c r="I12" i="226" l="1"/>
  <c r="I14" i="226" s="1"/>
  <c r="D9" i="226"/>
  <c r="D12" i="226" s="1"/>
  <c r="D14" i="226" s="1"/>
  <c r="C30" i="247" l="1"/>
  <c r="D30" i="247" s="1"/>
  <c r="C33" i="247"/>
  <c r="D33" i="247" s="1"/>
  <c r="E25" i="226"/>
  <c r="E24" i="226"/>
  <c r="E26" i="226"/>
  <c r="E27" i="226"/>
  <c r="E23" i="226"/>
  <c r="C24" i="226"/>
  <c r="C25" i="226"/>
  <c r="C26" i="226"/>
  <c r="C27" i="226"/>
  <c r="C23" i="226"/>
  <c r="C30" i="226"/>
  <c r="C31" i="226"/>
  <c r="C32" i="226"/>
  <c r="D39" i="247" l="1"/>
  <c r="AG30" i="247"/>
  <c r="AH30" i="247" s="1"/>
  <c r="AH29" i="219"/>
  <c r="AL33" i="247"/>
  <c r="AM33" i="247" s="1"/>
  <c r="AM32" i="219"/>
  <c r="AM29" i="219"/>
  <c r="AL30" i="247"/>
  <c r="AM30" i="247" s="1"/>
  <c r="I32" i="219"/>
  <c r="X32" i="219"/>
  <c r="AB32" i="219"/>
  <c r="AC32" i="219" s="1"/>
  <c r="C83" i="219"/>
  <c r="D83" i="219" s="1"/>
  <c r="D92" i="219" s="1"/>
  <c r="I29" i="219"/>
  <c r="D55" i="219"/>
  <c r="D65" i="219" s="1"/>
  <c r="D29" i="219"/>
  <c r="D38" i="219" s="1"/>
  <c r="D42" i="219"/>
  <c r="D51" i="219" s="1"/>
  <c r="C69" i="219"/>
  <c r="D69" i="219" s="1"/>
  <c r="D79" i="219" s="1"/>
  <c r="F24" i="226"/>
  <c r="N29" i="219"/>
  <c r="S29" i="219"/>
  <c r="N32" i="219"/>
  <c r="S32" i="219"/>
  <c r="AB29" i="219"/>
  <c r="AC29" i="219" s="1"/>
  <c r="X29" i="219"/>
  <c r="AG33" i="247"/>
  <c r="AH33" i="247" s="1"/>
  <c r="AH32" i="219"/>
  <c r="F32" i="226"/>
  <c r="F30" i="226"/>
  <c r="F23" i="226"/>
  <c r="F31" i="226"/>
  <c r="D18" i="231"/>
  <c r="D23" i="231" s="1"/>
  <c r="D25" i="231" s="1"/>
  <c r="C30" i="231" s="1"/>
  <c r="D18" i="234"/>
  <c r="D24" i="234" s="1"/>
  <c r="D18" i="230"/>
  <c r="D24" i="230" s="1"/>
  <c r="D26" i="230" s="1"/>
  <c r="D20" i="229"/>
  <c r="D23" i="229" s="1"/>
  <c r="F27" i="226"/>
  <c r="F26" i="226"/>
  <c r="F25" i="226"/>
  <c r="C34" i="263" l="1"/>
  <c r="D34" i="263" s="1"/>
  <c r="C33" i="262"/>
  <c r="D33" i="262" s="1"/>
  <c r="D35" i="262" s="1"/>
  <c r="C41" i="262" s="1"/>
  <c r="D41" i="262" s="1"/>
  <c r="D45" i="262" s="1"/>
  <c r="C52" i="262" s="1"/>
  <c r="D52" i="262" s="1"/>
  <c r="C33" i="261"/>
  <c r="D33" i="261" s="1"/>
  <c r="D35" i="261" s="1"/>
  <c r="C41" i="261" s="1"/>
  <c r="D41" i="261" s="1"/>
  <c r="D45" i="261" s="1"/>
  <c r="C52" i="261" s="1"/>
  <c r="D52" i="261" s="1"/>
  <c r="H34" i="263"/>
  <c r="I34" i="263" s="1"/>
  <c r="H33" i="261"/>
  <c r="I33" i="261" s="1"/>
  <c r="I35" i="261" s="1"/>
  <c r="H41" i="261" s="1"/>
  <c r="I41" i="261" s="1"/>
  <c r="I45" i="261" s="1"/>
  <c r="H52" i="261" s="1"/>
  <c r="I52" i="261" s="1"/>
  <c r="H33" i="262"/>
  <c r="I33" i="262" s="1"/>
  <c r="I35" i="262" s="1"/>
  <c r="H41" i="262" s="1"/>
  <c r="I41" i="262" s="1"/>
  <c r="I45" i="262" s="1"/>
  <c r="H52" i="262" s="1"/>
  <c r="I52" i="262" s="1"/>
  <c r="M33" i="262"/>
  <c r="N33" i="262" s="1"/>
  <c r="N35" i="262" s="1"/>
  <c r="M41" i="262" s="1"/>
  <c r="N41" i="262" s="1"/>
  <c r="N45" i="262" s="1"/>
  <c r="M52" i="262" s="1"/>
  <c r="N52" i="262" s="1"/>
  <c r="M33" i="261"/>
  <c r="N33" i="261" s="1"/>
  <c r="N35" i="261" s="1"/>
  <c r="M41" i="261" s="1"/>
  <c r="N41" i="261" s="1"/>
  <c r="N45" i="261" s="1"/>
  <c r="M52" i="261" s="1"/>
  <c r="N52" i="261" s="1"/>
  <c r="M34" i="263"/>
  <c r="N34" i="263" s="1"/>
  <c r="H33" i="229"/>
  <c r="I33" i="229" s="1"/>
  <c r="C33" i="229"/>
  <c r="D33" i="229" s="1"/>
  <c r="M33" i="229"/>
  <c r="N33" i="229" s="1"/>
  <c r="D26" i="229"/>
  <c r="N38" i="219"/>
  <c r="AM39" i="247"/>
  <c r="S38" i="219"/>
  <c r="AH38" i="219"/>
  <c r="X38" i="219"/>
  <c r="AH39" i="247"/>
  <c r="N28" i="228"/>
  <c r="AC38" i="219"/>
  <c r="I38" i="219"/>
  <c r="C30" i="234"/>
  <c r="D30" i="234" s="1"/>
  <c r="D37" i="234" s="1"/>
  <c r="D39" i="234" s="1"/>
  <c r="D40" i="234" s="1"/>
  <c r="M18" i="234"/>
  <c r="N18" i="234" s="1"/>
  <c r="H18" i="234"/>
  <c r="I18" i="234" s="1"/>
  <c r="I30" i="228"/>
  <c r="H32" i="238"/>
  <c r="I32" i="238" s="1"/>
  <c r="H30" i="237"/>
  <c r="I30" i="237" s="1"/>
  <c r="H30" i="236"/>
  <c r="I30" i="236" s="1"/>
  <c r="I36" i="236" s="1"/>
  <c r="H52" i="236" s="1"/>
  <c r="I52" i="236" s="1"/>
  <c r="I61" i="236" s="1"/>
  <c r="I62" i="236" s="1"/>
  <c r="B22" i="242" s="1"/>
  <c r="H31" i="231"/>
  <c r="I31" i="231" s="1"/>
  <c r="H34" i="230"/>
  <c r="I34" i="230" s="1"/>
  <c r="H32" i="239"/>
  <c r="I32" i="239" s="1"/>
  <c r="H32" i="232"/>
  <c r="I32" i="232" s="1"/>
  <c r="I38" i="232" s="1"/>
  <c r="H43" i="232" s="1"/>
  <c r="I43" i="232" s="1"/>
  <c r="I52" i="232" s="1"/>
  <c r="I53" i="232" s="1"/>
  <c r="B20" i="242" s="1"/>
  <c r="C33" i="230"/>
  <c r="D33" i="230" s="1"/>
  <c r="M33" i="230"/>
  <c r="N33" i="230" s="1"/>
  <c r="H33" i="230"/>
  <c r="I33" i="230" s="1"/>
  <c r="M32" i="239"/>
  <c r="N32" i="239" s="1"/>
  <c r="N37" i="239" s="1"/>
  <c r="M32" i="238"/>
  <c r="N32" i="238" s="1"/>
  <c r="N37" i="238" s="1"/>
  <c r="M32" i="232"/>
  <c r="N32" i="232" s="1"/>
  <c r="N38" i="232" s="1"/>
  <c r="M34" i="230"/>
  <c r="N34" i="230" s="1"/>
  <c r="M30" i="237"/>
  <c r="N30" i="237" s="1"/>
  <c r="N35" i="237" s="1"/>
  <c r="M30" i="236"/>
  <c r="N30" i="236" s="1"/>
  <c r="N36" i="236" s="1"/>
  <c r="M31" i="231"/>
  <c r="N31" i="231" s="1"/>
  <c r="D30" i="228"/>
  <c r="C30" i="237"/>
  <c r="D30" i="237" s="1"/>
  <c r="C41" i="236"/>
  <c r="D41" i="236" s="1"/>
  <c r="D48" i="236" s="1"/>
  <c r="C30" i="236"/>
  <c r="D30" i="236" s="1"/>
  <c r="D36" i="236" s="1"/>
  <c r="C52" i="236" s="1"/>
  <c r="D52" i="236" s="1"/>
  <c r="D61" i="236" s="1"/>
  <c r="D62" i="236" s="1"/>
  <c r="B10" i="242" s="1"/>
  <c r="C34" i="230"/>
  <c r="D34" i="230" s="1"/>
  <c r="C32" i="239"/>
  <c r="D32" i="239" s="1"/>
  <c r="C32" i="232"/>
  <c r="D32" i="232" s="1"/>
  <c r="D38" i="232" s="1"/>
  <c r="C43" i="232" s="1"/>
  <c r="D43" i="232" s="1"/>
  <c r="D52" i="232" s="1"/>
  <c r="D53" i="232" s="1"/>
  <c r="B8" i="242" s="1"/>
  <c r="C31" i="231"/>
  <c r="D31" i="231" s="1"/>
  <c r="C32" i="238"/>
  <c r="D32" i="238" s="1"/>
  <c r="M30" i="231"/>
  <c r="N30" i="231" s="1"/>
  <c r="H30" i="231"/>
  <c r="I30" i="231" s="1"/>
  <c r="D30" i="231"/>
  <c r="C30" i="228"/>
  <c r="W43" i="219" l="1"/>
  <c r="X43" i="219" s="1"/>
  <c r="X52" i="219" s="1"/>
  <c r="X53" i="219" s="1"/>
  <c r="N43" i="219"/>
  <c r="N52" i="219" s="1"/>
  <c r="N53" i="219" s="1"/>
  <c r="M43" i="219"/>
  <c r="N54" i="262"/>
  <c r="F36" i="265" s="1"/>
  <c r="H36" i="265" s="1"/>
  <c r="J36" i="265" s="1"/>
  <c r="K36" i="265" s="1"/>
  <c r="N56" i="262"/>
  <c r="I54" i="262"/>
  <c r="I56" i="262"/>
  <c r="I54" i="261"/>
  <c r="I56" i="261"/>
  <c r="D54" i="261"/>
  <c r="D56" i="261"/>
  <c r="M32" i="229"/>
  <c r="H32" i="229"/>
  <c r="C32" i="229"/>
  <c r="N54" i="261"/>
  <c r="F28" i="265" s="1"/>
  <c r="H28" i="265" s="1"/>
  <c r="J28" i="265" s="1"/>
  <c r="K28" i="265" s="1"/>
  <c r="N56" i="261"/>
  <c r="D56" i="262"/>
  <c r="D54" i="262"/>
  <c r="N36" i="228"/>
  <c r="I25" i="234"/>
  <c r="I26" i="234" s="1"/>
  <c r="N25" i="234"/>
  <c r="N26" i="234" s="1"/>
  <c r="D37" i="238"/>
  <c r="C42" i="238" s="1"/>
  <c r="D42" i="238" s="1"/>
  <c r="D51" i="238" s="1"/>
  <c r="D52" i="238" s="1"/>
  <c r="B13" i="242" s="1"/>
  <c r="I37" i="238"/>
  <c r="H42" i="238" s="1"/>
  <c r="I42" i="238" s="1"/>
  <c r="I51" i="238" s="1"/>
  <c r="I52" i="238" s="1"/>
  <c r="B25" i="242" s="1"/>
  <c r="D37" i="239"/>
  <c r="C42" i="239" s="1"/>
  <c r="D42" i="239" s="1"/>
  <c r="D51" i="239" s="1"/>
  <c r="D52" i="239" s="1"/>
  <c r="B11" i="242" s="1"/>
  <c r="I37" i="239"/>
  <c r="H42" i="239" s="1"/>
  <c r="I42" i="239" s="1"/>
  <c r="I51" i="239" s="1"/>
  <c r="I52" i="239" s="1"/>
  <c r="B23" i="242" s="1"/>
  <c r="D35" i="237"/>
  <c r="C40" i="237" s="1"/>
  <c r="D40" i="237" s="1"/>
  <c r="D49" i="237" s="1"/>
  <c r="D50" i="237" s="1"/>
  <c r="B12" i="242" s="1"/>
  <c r="I35" i="237"/>
  <c r="H40" i="237" s="1"/>
  <c r="I40" i="237" s="1"/>
  <c r="I49" i="237" s="1"/>
  <c r="I50" i="237" s="1"/>
  <c r="B24" i="242" s="1"/>
  <c r="N37" i="231"/>
  <c r="B31" i="242" s="1"/>
  <c r="I40" i="230"/>
  <c r="H46" i="230" s="1"/>
  <c r="I46" i="230" s="1"/>
  <c r="I55" i="230" s="1"/>
  <c r="I56" i="230" s="1"/>
  <c r="B18" i="242" s="1"/>
  <c r="D37" i="231"/>
  <c r="C42" i="231" s="1"/>
  <c r="D42" i="231" s="1"/>
  <c r="D51" i="231" s="1"/>
  <c r="D52" i="231" s="1"/>
  <c r="B7" i="242" s="1"/>
  <c r="D30" i="235"/>
  <c r="I37" i="231"/>
  <c r="H42" i="231" s="1"/>
  <c r="I42" i="231" s="1"/>
  <c r="I51" i="231" s="1"/>
  <c r="I52" i="231" s="1"/>
  <c r="B19" i="242" s="1"/>
  <c r="D40" i="230"/>
  <c r="C46" i="230" s="1"/>
  <c r="D46" i="230" s="1"/>
  <c r="D55" i="230" s="1"/>
  <c r="D56" i="230" s="1"/>
  <c r="B6" i="242" s="1"/>
  <c r="N40" i="230"/>
  <c r="B30" i="242" s="1"/>
  <c r="D28" i="228"/>
  <c r="I28" i="228"/>
  <c r="I36" i="228" s="1"/>
  <c r="H40" i="228" s="1"/>
  <c r="I40" i="228" s="1"/>
  <c r="I49" i="228" s="1"/>
  <c r="I50" i="228" s="1"/>
  <c r="B21" i="242" s="1"/>
  <c r="C61" i="261" l="1"/>
  <c r="D61" i="261" s="1"/>
  <c r="D65" i="261" s="1"/>
  <c r="C79" i="261"/>
  <c r="D79" i="261" s="1"/>
  <c r="D83" i="261" s="1"/>
  <c r="C70" i="261"/>
  <c r="D70" i="261" s="1"/>
  <c r="D74" i="261" s="1"/>
  <c r="C61" i="262"/>
  <c r="D61" i="262" s="1"/>
  <c r="D65" i="262" s="1"/>
  <c r="C79" i="262"/>
  <c r="D79" i="262" s="1"/>
  <c r="D83" i="262" s="1"/>
  <c r="C70" i="262"/>
  <c r="D70" i="262" s="1"/>
  <c r="D74" i="262" s="1"/>
  <c r="F29" i="265"/>
  <c r="H29" i="265" s="1"/>
  <c r="J29" i="265" s="1"/>
  <c r="K29" i="265" s="1"/>
  <c r="H61" i="262"/>
  <c r="I61" i="262" s="1"/>
  <c r="I65" i="262" s="1"/>
  <c r="F34" i="265"/>
  <c r="H34" i="265" s="1"/>
  <c r="J34" i="265" s="1"/>
  <c r="K34" i="265" s="1"/>
  <c r="F33" i="265"/>
  <c r="H33" i="265" s="1"/>
  <c r="J33" i="265" s="1"/>
  <c r="K33" i="265" s="1"/>
  <c r="H61" i="261"/>
  <c r="I61" i="261" s="1"/>
  <c r="I65" i="261" s="1"/>
  <c r="F25" i="265"/>
  <c r="H25" i="265" s="1"/>
  <c r="J25" i="265" s="1"/>
  <c r="K25" i="265" s="1"/>
  <c r="F26" i="265"/>
  <c r="H26" i="265" s="1"/>
  <c r="J26" i="265" s="1"/>
  <c r="K26" i="265" s="1"/>
  <c r="I32" i="229"/>
  <c r="I35" i="229" s="1"/>
  <c r="N32" i="229"/>
  <c r="N35" i="229" s="1"/>
  <c r="D32" i="229"/>
  <c r="D35" i="229" s="1"/>
  <c r="D37" i="235"/>
  <c r="D36" i="228"/>
  <c r="C40" i="228" s="1"/>
  <c r="D40" i="228" s="1"/>
  <c r="D48" i="228" s="1"/>
  <c r="D49" i="228" s="1"/>
  <c r="B9" i="242" s="1"/>
  <c r="I66" i="261" l="1"/>
  <c r="F27" i="265"/>
  <c r="H27" i="265" s="1"/>
  <c r="J27" i="265" s="1"/>
  <c r="K27" i="265" s="1"/>
  <c r="D84" i="262"/>
  <c r="F32" i="265"/>
  <c r="H32" i="265" s="1"/>
  <c r="J32" i="265" s="1"/>
  <c r="K32" i="265" s="1"/>
  <c r="M41" i="229"/>
  <c r="N41" i="229" s="1"/>
  <c r="N45" i="229" s="1"/>
  <c r="H41" i="229"/>
  <c r="I41" i="229" s="1"/>
  <c r="I45" i="229" s="1"/>
  <c r="F22" i="265"/>
  <c r="H22" i="265" s="1"/>
  <c r="J22" i="265" s="1"/>
  <c r="K22" i="265" s="1"/>
  <c r="D75" i="261"/>
  <c r="I66" i="262"/>
  <c r="F35" i="265"/>
  <c r="H35" i="265" s="1"/>
  <c r="J35" i="265" s="1"/>
  <c r="K35" i="265" s="1"/>
  <c r="D75" i="262"/>
  <c r="F30" i="265"/>
  <c r="H30" i="265" s="1"/>
  <c r="J30" i="265" s="1"/>
  <c r="K30" i="265" s="1"/>
  <c r="C41" i="229"/>
  <c r="D41" i="229" s="1"/>
  <c r="D45" i="229" s="1"/>
  <c r="F13" i="265"/>
  <c r="H13" i="265" s="1"/>
  <c r="J13" i="265" s="1"/>
  <c r="K13" i="265" s="1"/>
  <c r="C79" i="229"/>
  <c r="D79" i="229" s="1"/>
  <c r="D83" i="229" s="1"/>
  <c r="D84" i="261"/>
  <c r="F24" i="265"/>
  <c r="H24" i="265" s="1"/>
  <c r="J24" i="265" s="1"/>
  <c r="K24" i="265" s="1"/>
  <c r="D66" i="262"/>
  <c r="F31" i="265"/>
  <c r="H31" i="265" s="1"/>
  <c r="J31" i="265" s="1"/>
  <c r="K31" i="265" s="1"/>
  <c r="D66" i="261"/>
  <c r="F23" i="265"/>
  <c r="H23" i="265" s="1"/>
  <c r="J23" i="265" s="1"/>
  <c r="K23" i="265" s="1"/>
  <c r="D38" i="235"/>
  <c r="N39" i="226"/>
  <c r="H52" i="229" l="1"/>
  <c r="I52" i="229" s="1"/>
  <c r="M52" i="229"/>
  <c r="N52" i="229" s="1"/>
  <c r="C52" i="229"/>
  <c r="D52" i="229" s="1"/>
  <c r="D84" i="229"/>
  <c r="F16" i="265"/>
  <c r="H16" i="265" s="1"/>
  <c r="J16" i="265" s="1"/>
  <c r="K16" i="265" s="1"/>
  <c r="N38" i="226"/>
  <c r="N37" i="226"/>
  <c r="N56" i="229" l="1"/>
  <c r="N54" i="229"/>
  <c r="D56" i="229"/>
  <c r="D54" i="229"/>
  <c r="I56" i="229"/>
  <c r="I54" i="229"/>
  <c r="C9" i="235"/>
  <c r="D9" i="235" s="1"/>
  <c r="C70" i="229" l="1"/>
  <c r="D70" i="229" s="1"/>
  <c r="D74" i="229" s="1"/>
  <c r="F12" i="265"/>
  <c r="H12" i="265" s="1"/>
  <c r="J12" i="265" s="1"/>
  <c r="K12" i="265" s="1"/>
  <c r="C61" i="229"/>
  <c r="D61" i="229" s="1"/>
  <c r="D65" i="229" s="1"/>
  <c r="B29" i="242"/>
  <c r="F18" i="265"/>
  <c r="H18" i="265" s="1"/>
  <c r="J18" i="265" s="1"/>
  <c r="K18" i="265" s="1"/>
  <c r="F17" i="265"/>
  <c r="H17" i="265" s="1"/>
  <c r="J17" i="265" s="1"/>
  <c r="K17" i="265" s="1"/>
  <c r="H61" i="229"/>
  <c r="I61" i="229" s="1"/>
  <c r="I65" i="229" s="1"/>
  <c r="D66" i="229" l="1"/>
  <c r="B5" i="242" s="1"/>
  <c r="F15" i="265"/>
  <c r="H15" i="265" s="1"/>
  <c r="J15" i="265" s="1"/>
  <c r="K15" i="265" s="1"/>
  <c r="I66" i="229"/>
  <c r="B17" i="242" s="1"/>
  <c r="F19" i="265"/>
  <c r="H19" i="265" s="1"/>
  <c r="J19" i="265" s="1"/>
  <c r="K19" i="265" s="1"/>
  <c r="J14" i="265"/>
  <c r="K14" i="265" s="1"/>
  <c r="D75" i="229"/>
  <c r="C32" i="263"/>
  <c r="D32" i="263" s="1"/>
  <c r="D36" i="263" s="1"/>
  <c r="C42" i="263" s="1"/>
  <c r="D42" i="263" s="1"/>
  <c r="D46" i="263" s="1"/>
  <c r="C53" i="263" s="1"/>
  <c r="D53" i="263" s="1"/>
  <c r="M32" i="263"/>
  <c r="N32" i="263" s="1"/>
  <c r="N36" i="263" s="1"/>
  <c r="M42" i="263" s="1"/>
  <c r="N42" i="263" s="1"/>
  <c r="N46" i="263" s="1"/>
  <c r="M53" i="263" s="1"/>
  <c r="N53" i="263" s="1"/>
  <c r="H32" i="263"/>
  <c r="I32" i="263"/>
  <c r="I36" i="263" s="1"/>
  <c r="H42" i="263" s="1"/>
  <c r="I42" i="263" s="1"/>
  <c r="I46" i="263" s="1"/>
  <c r="H53" i="263" s="1"/>
  <c r="I53" i="263" s="1"/>
  <c r="N57" i="263" l="1"/>
  <c r="N55" i="263"/>
  <c r="F44" i="265" s="1"/>
  <c r="H44" i="265" s="1"/>
  <c r="J44" i="265" s="1"/>
  <c r="K44" i="265" s="1"/>
  <c r="I57" i="263"/>
  <c r="I55" i="263"/>
  <c r="D57" i="263"/>
  <c r="D55" i="263"/>
  <c r="H62" i="263" l="1"/>
  <c r="I62" i="263" s="1"/>
  <c r="I66" i="263" s="1"/>
  <c r="F42" i="265"/>
  <c r="H42" i="265" s="1"/>
  <c r="J42" i="265" s="1"/>
  <c r="K42" i="265" s="1"/>
  <c r="F41" i="265"/>
  <c r="H41" i="265" s="1"/>
  <c r="J41" i="265" s="1"/>
  <c r="K41" i="265" s="1"/>
  <c r="C62" i="263"/>
  <c r="D62" i="263" s="1"/>
  <c r="D66" i="263" s="1"/>
  <c r="C71" i="263"/>
  <c r="D71" i="263" s="1"/>
  <c r="D75" i="263" s="1"/>
  <c r="F37" i="265"/>
  <c r="H37" i="265" s="1"/>
  <c r="J37" i="265" s="1"/>
  <c r="K37" i="265" s="1"/>
  <c r="C80" i="263"/>
  <c r="D80" i="263" s="1"/>
  <c r="D84" i="263" s="1"/>
  <c r="D85" i="263" l="1"/>
  <c r="F40" i="265"/>
  <c r="H40" i="265" s="1"/>
  <c r="J40" i="265" s="1"/>
  <c r="K40" i="265" s="1"/>
  <c r="D67" i="263"/>
  <c r="F39" i="265"/>
  <c r="H39" i="265" s="1"/>
  <c r="J39" i="265" s="1"/>
  <c r="K39" i="265" s="1"/>
  <c r="D76" i="263"/>
  <c r="F38" i="265"/>
  <c r="H38" i="265" s="1"/>
  <c r="J38" i="265" s="1"/>
  <c r="K38" i="265" s="1"/>
  <c r="I67" i="263"/>
  <c r="F43" i="265"/>
  <c r="H43" i="265" s="1"/>
  <c r="J43" i="265" s="1"/>
  <c r="K43" i="265" s="1"/>
  <c r="D23" i="26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E11" authorId="0" shapeId="0" xr:uid="{609E1B1B-A689-40C6-B6A5-F06EF5E35A30}">
      <text>
        <r>
          <rPr>
            <b/>
            <sz val="9"/>
            <color indexed="81"/>
            <rFont val="Tahoma"/>
            <family val="2"/>
          </rPr>
          <t>William:</t>
        </r>
        <r>
          <rPr>
            <sz val="9"/>
            <color indexed="81"/>
            <rFont val="Tahoma"/>
            <family val="2"/>
          </rPr>
          <t xml:space="preserve">
Increased to £0.01 so it will always be included in costing (it was too small to ever be included)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<sst xmlns="http://schemas.openxmlformats.org/spreadsheetml/2006/main" count="3751" uniqueCount="615">
  <si>
    <t>COST</t>
  </si>
  <si>
    <t>Weight</t>
  </si>
  <si>
    <t>Cost</t>
  </si>
  <si>
    <t>Product</t>
  </si>
  <si>
    <t>Total</t>
  </si>
  <si>
    <t xml:space="preserve">Product Page </t>
  </si>
  <si>
    <t>INGREDIENTS</t>
  </si>
  <si>
    <t>Date</t>
  </si>
  <si>
    <t>Supplier</t>
  </si>
  <si>
    <t>Staff Member</t>
  </si>
  <si>
    <t>Water</t>
  </si>
  <si>
    <t>Beef</t>
  </si>
  <si>
    <t>Kitchen Ingredient Costs</t>
  </si>
  <si>
    <t>Fat/Butter</t>
  </si>
  <si>
    <t>Flour</t>
  </si>
  <si>
    <t>Salt</t>
  </si>
  <si>
    <t>Pukka Puffy Pastry</t>
  </si>
  <si>
    <t>INGREDIENT</t>
  </si>
  <si>
    <t>PASTRY</t>
  </si>
  <si>
    <t>MEAT</t>
  </si>
  <si>
    <t>Chicken</t>
  </si>
  <si>
    <t>PER</t>
  </si>
  <si>
    <t>kg</t>
  </si>
  <si>
    <t>Grasmere Farm Manual</t>
  </si>
  <si>
    <t xml:space="preserve">. All allergens in BOLD.
</t>
  </si>
  <si>
    <t>……</t>
  </si>
  <si>
    <t>…..</t>
  </si>
  <si>
    <t>Kitchen Pastry Costs</t>
  </si>
  <si>
    <t>Total Weight</t>
  </si>
  <si>
    <t>Change info in yellow boxes</t>
  </si>
  <si>
    <t>Mini</t>
  </si>
  <si>
    <t>1lb</t>
  </si>
  <si>
    <t>2lb</t>
  </si>
  <si>
    <t>Cost Open</t>
  </si>
  <si>
    <t>Pie base weight</t>
  </si>
  <si>
    <t>Pie Lid weight</t>
  </si>
  <si>
    <t>Lid Cost</t>
  </si>
  <si>
    <t>Total Cost</t>
  </si>
  <si>
    <t>3lb</t>
  </si>
  <si>
    <t>PORK PIES PASTRY COST</t>
  </si>
  <si>
    <t>MEAT PIE PASTRY COST</t>
  </si>
  <si>
    <t>Individual</t>
  </si>
  <si>
    <t>Medium</t>
  </si>
  <si>
    <t>Large</t>
  </si>
  <si>
    <t>Pastry Base</t>
  </si>
  <si>
    <t>Pork Meat</t>
  </si>
  <si>
    <t>Pastry Lid</t>
  </si>
  <si>
    <t>Jelly</t>
  </si>
  <si>
    <t>PACKAGING</t>
  </si>
  <si>
    <t>Foils Small</t>
  </si>
  <si>
    <t>Foils Medium</t>
  </si>
  <si>
    <t>Foils Large</t>
  </si>
  <si>
    <t>Pork Pie Foils Mini</t>
  </si>
  <si>
    <t>Pork Pie Foil Small</t>
  </si>
  <si>
    <t>Pork Pie Foil Medium</t>
  </si>
  <si>
    <t>Rectangle Retail Box</t>
  </si>
  <si>
    <t>Small Square Retail Box</t>
  </si>
  <si>
    <t>each</t>
  </si>
  <si>
    <t xml:space="preserve">OTHER </t>
  </si>
  <si>
    <t>Crumb</t>
  </si>
  <si>
    <t>Pepper</t>
  </si>
  <si>
    <t>Egg/Milk Wash</t>
  </si>
  <si>
    <t>Stilton</t>
  </si>
  <si>
    <t>Chorizo</t>
  </si>
  <si>
    <t>Pulled Pork</t>
  </si>
  <si>
    <t>Bacon</t>
  </si>
  <si>
    <t>Case</t>
  </si>
  <si>
    <t>Label</t>
  </si>
  <si>
    <t>Chicken Sauce Mix</t>
  </si>
  <si>
    <t>Steak &amp; Kidney Sauce Mix</t>
  </si>
  <si>
    <t>Game Mix</t>
  </si>
  <si>
    <t>Mace</t>
  </si>
  <si>
    <t>Back Fat</t>
  </si>
  <si>
    <t>Skin</t>
  </si>
  <si>
    <t>Faggot Mix</t>
  </si>
  <si>
    <t>Rusk</t>
  </si>
  <si>
    <t>Sausage Strip</t>
  </si>
  <si>
    <t>Flavoured Sausage Strip</t>
  </si>
  <si>
    <t>Cider</t>
  </si>
  <si>
    <t>Ale</t>
  </si>
  <si>
    <t>Powder Mustard</t>
  </si>
  <si>
    <t>Grain Mustard</t>
  </si>
  <si>
    <t>Tarigan</t>
  </si>
  <si>
    <t>Trotter</t>
  </si>
  <si>
    <t>Head</t>
  </si>
  <si>
    <t>Red Onions</t>
  </si>
  <si>
    <t>Red wine vinegar</t>
  </si>
  <si>
    <t>Chilli Flakes</t>
  </si>
  <si>
    <t>Gammon bits</t>
  </si>
  <si>
    <t>Kidney bits</t>
  </si>
  <si>
    <t>Lincolnshire Poacher</t>
  </si>
  <si>
    <t>Spiced Fruit Chutney</t>
  </si>
  <si>
    <t>Cranberrys</t>
  </si>
  <si>
    <t>Ham Bags</t>
  </si>
  <si>
    <t>Cooking Paper</t>
  </si>
  <si>
    <t>Jars</t>
  </si>
  <si>
    <t>Lids</t>
  </si>
  <si>
    <t>String</t>
  </si>
  <si>
    <t>Tray (Meaballs)</t>
  </si>
  <si>
    <t>Tray (Faggots)</t>
  </si>
  <si>
    <t>Brown Sugar</t>
  </si>
  <si>
    <t>Brown Onions</t>
  </si>
  <si>
    <t>16 eggs</t>
  </si>
  <si>
    <t>2 ltre milk</t>
  </si>
  <si>
    <t>Vegetable Oil</t>
  </si>
  <si>
    <t>per kg</t>
  </si>
  <si>
    <t>Foil</t>
  </si>
  <si>
    <t>Chicken &amp; Ham Pie Filling</t>
  </si>
  <si>
    <t>Cooked Chicken</t>
  </si>
  <si>
    <t>Cooked Gammon</t>
  </si>
  <si>
    <t>Milk &amp; Stock</t>
  </si>
  <si>
    <t>Sauce Mix CW 110715</t>
  </si>
  <si>
    <t>Chicken &amp; Ham Pie Small</t>
  </si>
  <si>
    <t>C&amp;H Filling Mix</t>
  </si>
  <si>
    <t>Premium Sausage</t>
  </si>
  <si>
    <t>Egg Glaze</t>
  </si>
  <si>
    <t>Chicken &amp; Ham Pie</t>
  </si>
  <si>
    <t>Chicken &amp; Ham Pie Medium</t>
  </si>
  <si>
    <t>Chicken &amp; Ham Pie Large</t>
  </si>
  <si>
    <t>Steak Pie</t>
  </si>
  <si>
    <t>Cooked Beef</t>
  </si>
  <si>
    <t>Beef Juice/Water</t>
  </si>
  <si>
    <t>Gravey Mix CW 111020</t>
  </si>
  <si>
    <t>Steak &amp; Ale Pie</t>
  </si>
  <si>
    <t>Steak &amp; Ale Pie Filling</t>
  </si>
  <si>
    <t>Barley</t>
  </si>
  <si>
    <t>Steak &amp; Kidney Pie</t>
  </si>
  <si>
    <t>Steak &amp; Kidney Pie Filling</t>
  </si>
  <si>
    <t>Cooked Kidney</t>
  </si>
  <si>
    <t>Ox Runners</t>
  </si>
  <si>
    <t>per bundle</t>
  </si>
  <si>
    <t>Raw Steak &amp; Ale Pie Small</t>
  </si>
  <si>
    <t>Raw Steak &amp; Ale Pie Medium</t>
  </si>
  <si>
    <t>Raw Steak &amp; Ale Pie Large</t>
  </si>
  <si>
    <t>Raw Steak &amp; Kidney Pie Small</t>
  </si>
  <si>
    <t>Raw Steak &amp; Kidney Pie Medium</t>
  </si>
  <si>
    <t>Raw Steak &amp; Kidney Pie Large</t>
  </si>
  <si>
    <t>20kg</t>
  </si>
  <si>
    <t>Pie</t>
  </si>
  <si>
    <t>Packaging</t>
  </si>
  <si>
    <t>Labour</t>
  </si>
  <si>
    <t>Steak &amp; Stilton Pie</t>
  </si>
  <si>
    <t>Steak &amp; Stilton Pie Filling</t>
  </si>
  <si>
    <t>Raw Steak &amp; Stilton Pie Small</t>
  </si>
  <si>
    <t>Raw Steak &amp; Stilton Pie Medium</t>
  </si>
  <si>
    <t>Raw Steak &amp; Stilton Pie Large</t>
  </si>
  <si>
    <t>Sausage Roll</t>
  </si>
  <si>
    <t>Pukka Pasty</t>
  </si>
  <si>
    <t>Raw Small Sausage Roll</t>
  </si>
  <si>
    <t>Cooked Small Sausage Roll Twin Pack</t>
  </si>
  <si>
    <t>Jumbo Sausage Roll</t>
  </si>
  <si>
    <t>Pasty</t>
  </si>
  <si>
    <t>Pastry</t>
  </si>
  <si>
    <t>Tray (Crackles)</t>
  </si>
  <si>
    <t>Scotch &amp; Bacon Eggs</t>
  </si>
  <si>
    <t>16.50 for bag of steak</t>
  </si>
  <si>
    <t>Gammon</t>
  </si>
  <si>
    <t>12 per bucket</t>
  </si>
  <si>
    <t>10 per basket</t>
  </si>
  <si>
    <t>7 per bucket</t>
  </si>
  <si>
    <t>Vail Fat</t>
  </si>
  <si>
    <t>Brawn</t>
  </si>
  <si>
    <t>Cold Water Pastry- Meat Pies Batch</t>
  </si>
  <si>
    <t>Hot Water Pastry- Pork Pies Batch</t>
  </si>
  <si>
    <t>Small bases</t>
  </si>
  <si>
    <t>Medium bases</t>
  </si>
  <si>
    <t>Small</t>
  </si>
  <si>
    <t>10oz</t>
  </si>
  <si>
    <t>Milk</t>
  </si>
  <si>
    <t>Cooking Paper in No</t>
  </si>
  <si>
    <t>No</t>
  </si>
  <si>
    <t>Cooked Chicken &amp; Ham Small Case</t>
  </si>
  <si>
    <t>COST PER 9 CASE</t>
  </si>
  <si>
    <t>Labour (90 an hour)</t>
  </si>
  <si>
    <t>Haslets 100 per hour</t>
  </si>
  <si>
    <t>Labour (48 per hour)</t>
  </si>
  <si>
    <t>Labour (32 per hour)</t>
  </si>
  <si>
    <t>Wrap/Label</t>
  </si>
  <si>
    <t>Gravy Mix CW 111020</t>
  </si>
  <si>
    <t>Labour (75 per hour)</t>
  </si>
  <si>
    <t xml:space="preserve">Labour </t>
  </si>
  <si>
    <t>Cooked Steak Pie Small Case</t>
  </si>
  <si>
    <t>PER EACH</t>
  </si>
  <si>
    <t>Cooked Steak Pie Medium Case</t>
  </si>
  <si>
    <t>Box end label</t>
  </si>
  <si>
    <t>Cooked Chicken &amp; Ham Pie Medium Case</t>
  </si>
  <si>
    <t>Beef Juice/Water/Kidney</t>
  </si>
  <si>
    <t>Cooked Steak &amp; Kidney Pie Small Case</t>
  </si>
  <si>
    <t>Cooked Steak &amp; Kidney Pie Medium Case</t>
  </si>
  <si>
    <t>Cooked Steak &amp; Stilton Pie Small Case</t>
  </si>
  <si>
    <t>Cooked Steak &amp; Stilton Pie Medium Case</t>
  </si>
  <si>
    <t>Chicken &amp; Chorizo Pie</t>
  </si>
  <si>
    <t>Pulled Pork, Cider &amp; Mustard Pie</t>
  </si>
  <si>
    <t>Ham Hock, Cider &amp; Tarragon</t>
  </si>
  <si>
    <t>Chicken &amp; Stilton with Bacon Pie</t>
  </si>
  <si>
    <t>Chicken &amp; Chorizo Pie Filling</t>
  </si>
  <si>
    <t>Chicken &amp; Chorizo Pie Medium</t>
  </si>
  <si>
    <t>Chicken &amp; Chorizo Pie Individual</t>
  </si>
  <si>
    <t>Chicken &amp; Chorizo Pie Large</t>
  </si>
  <si>
    <t>Filling</t>
  </si>
  <si>
    <t>Pasty (base &amp; lid)</t>
  </si>
  <si>
    <t>Cooked Chicken &amp; Chorizo Small Case Further Retail</t>
  </si>
  <si>
    <t>Cooked Chicken &amp; Chorizo Medium Case Further Retail</t>
  </si>
  <si>
    <t>Chicken &amp; Chorizo Pie Individual Case Raw</t>
  </si>
  <si>
    <t>Pork Pie Seasoning</t>
  </si>
  <si>
    <t>White Pepper</t>
  </si>
  <si>
    <t>Maize</t>
  </si>
  <si>
    <t>Mustard</t>
  </si>
  <si>
    <t>Pork Pie Meat</t>
  </si>
  <si>
    <t>Seasoning</t>
  </si>
  <si>
    <t>Pork Pie Meat Mix</t>
  </si>
  <si>
    <t>Mini Pork Pie lided</t>
  </si>
  <si>
    <t>Mini Pork Pie Stilton</t>
  </si>
  <si>
    <t>Mini Pork Pie ROM</t>
  </si>
  <si>
    <t>ROM</t>
  </si>
  <si>
    <t>Mini Pork Pie ROM &amp; Stilton</t>
  </si>
  <si>
    <t>Mini Pork Pie Lincs Poacher &amp; Apple Chutney</t>
  </si>
  <si>
    <t>Mini Pork Pie Spiced Apricot Chutney</t>
  </si>
  <si>
    <t>Chutney</t>
  </si>
  <si>
    <t>Cheese</t>
  </si>
  <si>
    <t>Labour (packing)</t>
  </si>
  <si>
    <t>Small Case of 5</t>
  </si>
  <si>
    <t xml:space="preserve">Medium Case of 4 </t>
  </si>
  <si>
    <t>Pork Pie Meat &amp; Stilton Mix</t>
  </si>
  <si>
    <t>Small with Stilton</t>
  </si>
  <si>
    <t>Red Onion Marmalade</t>
  </si>
  <si>
    <t>Medium lided with Stilton</t>
  </si>
  <si>
    <t>Medium topped</t>
  </si>
  <si>
    <t>Raw Jumbo Sausage Roll boxed</t>
  </si>
  <si>
    <t>Raw Small Sausage Roll boxed</t>
  </si>
  <si>
    <t>Raw Flavoured Sausage Roll boxed</t>
  </si>
  <si>
    <t>Twin Packs</t>
  </si>
  <si>
    <t>Red wine Vinegar</t>
  </si>
  <si>
    <t>Pork Pies</t>
  </si>
  <si>
    <t>Jar</t>
  </si>
  <si>
    <t>Lid</t>
  </si>
  <si>
    <t>Per Kg</t>
  </si>
  <si>
    <t>Sweet Chilli Red Onion Marmalade</t>
  </si>
  <si>
    <t>Per KG</t>
  </si>
  <si>
    <t>SWROM</t>
  </si>
  <si>
    <t>Egg</t>
  </si>
  <si>
    <t>Flour/Egg Wash</t>
  </si>
  <si>
    <t>Scotch or Bacon Eggs</t>
  </si>
  <si>
    <t>Scotch or Bacon Eggs Individual Pack</t>
  </si>
  <si>
    <t>Scotch/Bacon Egg</t>
  </si>
  <si>
    <t>Packaging/Label</t>
  </si>
  <si>
    <t>Scotch or Bacon Eggs Twin Pack</t>
  </si>
  <si>
    <t>Twin Pack</t>
  </si>
  <si>
    <t>PER EGG</t>
  </si>
  <si>
    <t>Haslet</t>
  </si>
  <si>
    <t>Black Pudding</t>
  </si>
  <si>
    <t>Grunta</t>
  </si>
  <si>
    <t>Faggot</t>
  </si>
  <si>
    <t>Meatballs</t>
  </si>
  <si>
    <t>Hunters Pie</t>
  </si>
  <si>
    <t>Sliced Ham</t>
  </si>
  <si>
    <t>Bratwurst</t>
  </si>
  <si>
    <t>Haslets</t>
  </si>
  <si>
    <t>Vale Fat</t>
  </si>
  <si>
    <t>Haslet packaged</t>
  </si>
  <si>
    <t>Label/etc</t>
  </si>
  <si>
    <t>Haslet 1lb</t>
  </si>
  <si>
    <t>Haslet 6lb</t>
  </si>
  <si>
    <t>Haslet boxed</t>
  </si>
  <si>
    <t>Paper</t>
  </si>
  <si>
    <t>Faggots</t>
  </si>
  <si>
    <t>OXO Cube</t>
  </si>
  <si>
    <t>Vail</t>
  </si>
  <si>
    <t>Faggot (4 per pack)</t>
  </si>
  <si>
    <t xml:space="preserve">Black Pudding </t>
  </si>
  <si>
    <t>Pearl Barley</t>
  </si>
  <si>
    <t>Cooked Onion</t>
  </si>
  <si>
    <t>Black Pudding Mix</t>
  </si>
  <si>
    <t>Hunter's Pie</t>
  </si>
  <si>
    <t>Hunter's Pie Meat Mix</t>
  </si>
  <si>
    <t>Game Meat</t>
  </si>
  <si>
    <t>Lincs Saus Meat</t>
  </si>
  <si>
    <t>Red Wine</t>
  </si>
  <si>
    <t>Black Pepper</t>
  </si>
  <si>
    <t>Red wine</t>
  </si>
  <si>
    <t>Meat</t>
  </si>
  <si>
    <t>Cranberry</t>
  </si>
  <si>
    <t>Bacon &amp; Cheese Puff</t>
  </si>
  <si>
    <t>Smoked Bacon</t>
  </si>
  <si>
    <t>Tomato Pureee</t>
  </si>
  <si>
    <t>Raw Bacon &amp; Cheese Puff</t>
  </si>
  <si>
    <t>Puff</t>
  </si>
  <si>
    <t>Raw Large Bacon &amp; Cheese Puff</t>
  </si>
  <si>
    <t>Raw Bacon &amp; Cheese Puff boxed</t>
  </si>
  <si>
    <t>Raw Large Bacon &amp; Cheese Puff boxed</t>
  </si>
  <si>
    <t>Chorizo Puff</t>
  </si>
  <si>
    <t>Raw Chorizo Puff</t>
  </si>
  <si>
    <t>Raw Chorizo &amp; Cheese Puff boxed</t>
  </si>
  <si>
    <t>Onion</t>
  </si>
  <si>
    <t>PER KG</t>
  </si>
  <si>
    <t>Vac Bag</t>
  </si>
  <si>
    <t>Ham</t>
  </si>
  <si>
    <t>Kidney</t>
  </si>
  <si>
    <t>Heart</t>
  </si>
  <si>
    <t>Liver</t>
  </si>
  <si>
    <t>Garlic</t>
  </si>
  <si>
    <t>Faggot Meat Mix</t>
  </si>
  <si>
    <t>Gravey Mix</t>
  </si>
  <si>
    <t>Pulled Pork, Cider &amp; Mustard Filling</t>
  </si>
  <si>
    <t>Raw Pulled Pork, Cider &amp; Mustard Small</t>
  </si>
  <si>
    <t>Raw Pulled Pork, Cider &amp; Mustard Medium</t>
  </si>
  <si>
    <t>Raw Pulled Pork, Cider &amp; Mustard Large</t>
  </si>
  <si>
    <t>Raw Pulled Pork, Cider &amp; Mustard Small Case</t>
  </si>
  <si>
    <t>Raw Pulled Pork, Cider &amp; Mustard Medium Case</t>
  </si>
  <si>
    <t>Ham Hock, Cider &amp; Tarragon Filling</t>
  </si>
  <si>
    <t>Ham Hock</t>
  </si>
  <si>
    <t>Dried Tarragon</t>
  </si>
  <si>
    <t>Hock</t>
  </si>
  <si>
    <t>Raw Ham Hock, Cider &amp; Tarragon Pie Small</t>
  </si>
  <si>
    <t>Raw Ham Hock, Cider &amp; Tarragon Pie Medium</t>
  </si>
  <si>
    <t>Raw Ham Hock, Cider &amp; Tarragon Pie Large</t>
  </si>
  <si>
    <t>Cooked Ham Hock, Cider &amp; Tarragon Pie Small Case</t>
  </si>
  <si>
    <t>Cooked Ham Hock, Cider &amp; Tarragon Pie Medium Case</t>
  </si>
  <si>
    <t>Chicken &amp; Stilton with Bacon Pie Filling</t>
  </si>
  <si>
    <t>Bacon Bits</t>
  </si>
  <si>
    <t>Stock &amp; Water</t>
  </si>
  <si>
    <t>Raw Chicken &amp; Stilton with Bacon Pie Small</t>
  </si>
  <si>
    <t>Raw Chicken &amp; Stilton with Bacon Pie Medium</t>
  </si>
  <si>
    <t>Raw Chicken &amp; Stilton with Bacon Pie Large</t>
  </si>
  <si>
    <t>Gold Vac Bag 225 x 200 Eurohole</t>
  </si>
  <si>
    <t>Ham Cook Bag</t>
  </si>
  <si>
    <t>Kitchen KPI Weekly Summary Sheet W/C</t>
  </si>
  <si>
    <t>WEEKLY PREPPED TOTAL</t>
  </si>
  <si>
    <t>Cook Bag</t>
  </si>
  <si>
    <t>MEAT PIES SMALL</t>
  </si>
  <si>
    <t>Steak</t>
  </si>
  <si>
    <t>Steak &amp; Ale</t>
  </si>
  <si>
    <t>Steak &amp; Kidney</t>
  </si>
  <si>
    <t>Steak &amp; Stilton</t>
  </si>
  <si>
    <t>Chicken &amp; Ham</t>
  </si>
  <si>
    <t>Pulled Pork, Cider &amp; Mustard</t>
  </si>
  <si>
    <t>Chicken &amp; Chorizo</t>
  </si>
  <si>
    <t>Chicken &amp; Bacon with Stilton</t>
  </si>
  <si>
    <t>MEAT PIES MEDIUM</t>
  </si>
  <si>
    <t>MEAT PIES LARGE</t>
  </si>
  <si>
    <t>POINT VALUE</t>
  </si>
  <si>
    <t>POINTS TOTAL</t>
  </si>
  <si>
    <t>TOTAL</t>
  </si>
  <si>
    <t>PORK PIES</t>
  </si>
  <si>
    <t>Mini lided</t>
  </si>
  <si>
    <t>Mini open</t>
  </si>
  <si>
    <t>Medium Stilton</t>
  </si>
  <si>
    <t>Small Stilton</t>
  </si>
  <si>
    <t>SAUSAGE ROLLS &amp; PUFFS</t>
  </si>
  <si>
    <t>Jumbo Sausage Roll Box of 48</t>
  </si>
  <si>
    <t>Small Sausage Roll Box of 60</t>
  </si>
  <si>
    <t>Flavoured Sausage Roll Box of 32</t>
  </si>
  <si>
    <t>Small Sausage Roll Tray of 130 Cooked 24</t>
  </si>
  <si>
    <t>Jumbo Sausage Roll Tray of 110 Cooked 4</t>
  </si>
  <si>
    <t>Buffet Sausage Rolls (30's)</t>
  </si>
  <si>
    <t>Bacon Puff</t>
  </si>
  <si>
    <t>Onion Puff</t>
  </si>
  <si>
    <t>OTHER</t>
  </si>
  <si>
    <t>Black Budding batch of 185</t>
  </si>
  <si>
    <t>Faggots batch of 150 Cooked 60</t>
  </si>
  <si>
    <t>Meatballs trays of 60</t>
  </si>
  <si>
    <t>Scotch Eggs trays of 64</t>
  </si>
  <si>
    <t>Bacon Eggs trays of 64</t>
  </si>
  <si>
    <t>Crackles</t>
  </si>
  <si>
    <t>Chilli ROM jars (20)</t>
  </si>
  <si>
    <t>ROM jars (20)</t>
  </si>
  <si>
    <t>Hocks</t>
  </si>
  <si>
    <t>MEAT PIE BASES</t>
  </si>
  <si>
    <t>COST PRiCE</t>
  </si>
  <si>
    <t>ROM/Chilli Batch</t>
  </si>
  <si>
    <t>STOCK VALUE TOTAL</t>
  </si>
  <si>
    <t>COST PER PACK</t>
  </si>
  <si>
    <t>End Label</t>
  </si>
  <si>
    <t>Haslet 6lb-sliced Case</t>
  </si>
  <si>
    <t>COST PER CASE</t>
  </si>
  <si>
    <t xml:space="preserve">COST </t>
  </si>
  <si>
    <t>Meatball Pack</t>
  </si>
  <si>
    <t>?</t>
  </si>
  <si>
    <t>Red Onion Marmalade Case</t>
  </si>
  <si>
    <t>PER TWIN PACK</t>
  </si>
  <si>
    <t>Cheese (for Puff)</t>
  </si>
  <si>
    <t>Costing</t>
  </si>
  <si>
    <t>Start weight (before hung if dry aged)</t>
  </si>
  <si>
    <t>(Start weight after hanging if dry aged)</t>
  </si>
  <si>
    <t>Trim</t>
  </si>
  <si>
    <t>Waste</t>
  </si>
  <si>
    <t>Pie wrap round Label</t>
  </si>
  <si>
    <t>Large Square Retail Box with window</t>
  </si>
  <si>
    <t>per hour</t>
  </si>
  <si>
    <t xml:space="preserve">Pork Cider &amp; Mustard Purse </t>
  </si>
  <si>
    <t>Pork Cider &amp; Mustard Filling</t>
  </si>
  <si>
    <t>Gravy Mix</t>
  </si>
  <si>
    <t>Puff Lid/Symbol</t>
  </si>
  <si>
    <t>Pork, Cider &amp; Mustard Purse</t>
  </si>
  <si>
    <t>Lamb &amp; Mint Purse</t>
  </si>
  <si>
    <t>Cooked Lamb</t>
  </si>
  <si>
    <t>Water/Stock</t>
  </si>
  <si>
    <t>Mint Sauce</t>
  </si>
  <si>
    <t>Gravy Mix CW111020</t>
  </si>
  <si>
    <t>Lamb</t>
  </si>
  <si>
    <t>Steak &amp; Ale Purse</t>
  </si>
  <si>
    <t>Water Stock</t>
  </si>
  <si>
    <t>Lamb &amp; Mint Purse Filling</t>
  </si>
  <si>
    <t>Steak &amp; Ale Purse Filling</t>
  </si>
  <si>
    <t>Chicken &amp; Ham Purse</t>
  </si>
  <si>
    <t>Gravy Mix CW110715</t>
  </si>
  <si>
    <t>Stock &amp; Milk</t>
  </si>
  <si>
    <t>per slice</t>
  </si>
  <si>
    <t>Hard Boiled Eggs</t>
  </si>
  <si>
    <t>Gelatine</t>
  </si>
  <si>
    <t>Total Weight and Cost</t>
  </si>
  <si>
    <t>Small Lid</t>
  </si>
  <si>
    <t>170 lids</t>
  </si>
  <si>
    <t>Medium lists</t>
  </si>
  <si>
    <t>96 lids</t>
  </si>
  <si>
    <t>Mixed lids</t>
  </si>
  <si>
    <t>36 small</t>
  </si>
  <si>
    <t>83 medium</t>
  </si>
  <si>
    <t>Fat/Butter/Lard</t>
  </si>
  <si>
    <t>Real Ale Chutney</t>
  </si>
  <si>
    <t>£44.95 for 5kg</t>
  </si>
  <si>
    <t>Input / Calculation</t>
  </si>
  <si>
    <t>Raw start weight (kg)</t>
  </si>
  <si>
    <t>Raw cost per kg (£)</t>
  </si>
  <si>
    <t>Total raw cost (£)</t>
  </si>
  <si>
    <t>Cooked saleable weight (kg)</t>
  </si>
  <si>
    <t>Cooked yield (%)</t>
  </si>
  <si>
    <t>Cooked cost per kg (£)</t>
  </si>
  <si>
    <t>Waste (kg)</t>
  </si>
  <si>
    <t>Waste % of cooked weight</t>
  </si>
  <si>
    <t>Cost Per pack</t>
  </si>
  <si>
    <t>Ham 180g pack</t>
  </si>
  <si>
    <t>Cost per pack</t>
  </si>
  <si>
    <t>HAM 1</t>
  </si>
  <si>
    <t>Butchery charge</t>
  </si>
  <si>
    <t>Kitchen</t>
  </si>
  <si>
    <t>£25 each</t>
  </si>
  <si>
    <t>HAM 2</t>
  </si>
  <si>
    <t>HAM 3</t>
  </si>
  <si>
    <t>HAM 4</t>
  </si>
  <si>
    <t>Multi product Case</t>
  </si>
  <si>
    <t>Morrisons Case</t>
  </si>
  <si>
    <t>Average</t>
  </si>
  <si>
    <t>Sausagemeat</t>
  </si>
  <si>
    <t>Strip costing</t>
  </si>
  <si>
    <t>Cooked Jumbo Sausage Roll Single Pack  Case</t>
  </si>
  <si>
    <t>Jumbo Sausage Rolls - Raw 48 case</t>
  </si>
  <si>
    <t>Jumbo Sausage Rolls - Cooked 10 per case</t>
  </si>
  <si>
    <t>CASES</t>
  </si>
  <si>
    <t>Ingredient Cost</t>
  </si>
  <si>
    <t>per egg wash</t>
  </si>
  <si>
    <t>Grasmere Farm</t>
  </si>
  <si>
    <t>Product Costings</t>
  </si>
  <si>
    <t>COST/kg</t>
  </si>
  <si>
    <t>Product Cost</t>
  </si>
  <si>
    <t>Sub-recipes</t>
  </si>
  <si>
    <t>COGS</t>
  </si>
  <si>
    <t>Ingredient</t>
  </si>
  <si>
    <t>Cold Water Pastry</t>
  </si>
  <si>
    <t>Small - Cooked</t>
  </si>
  <si>
    <t>Individual Packaged Products (excl. Labour)</t>
  </si>
  <si>
    <t>Individual Packaged Products (incl. Labour)</t>
  </si>
  <si>
    <t>=</t>
  </si>
  <si>
    <t>Packaged Product Cost</t>
  </si>
  <si>
    <t>Case Packaging</t>
  </si>
  <si>
    <t>Medium (4 per case)</t>
  </si>
  <si>
    <t>Small (9 per case)</t>
  </si>
  <si>
    <t>Labour Percentage</t>
  </si>
  <si>
    <t>Silton</t>
  </si>
  <si>
    <t>Pukka Pastry (roll)</t>
  </si>
  <si>
    <t>Strips</t>
  </si>
  <si>
    <t>Yield</t>
  </si>
  <si>
    <t>Jumbo</t>
  </si>
  <si>
    <t>10 per case</t>
  </si>
  <si>
    <t>48* Box</t>
  </si>
  <si>
    <t>Small (6 per case)</t>
  </si>
  <si>
    <t>Frozen Small (case of 12)</t>
  </si>
  <si>
    <t>(Indirect Expenses (10%) + 5%)</t>
  </si>
  <si>
    <t>Kitchen Margin</t>
  </si>
  <si>
    <t>Van Sales Margin</t>
  </si>
  <si>
    <t xml:space="preserve">Van Sales Margin </t>
  </si>
  <si>
    <t>Kitchen Price</t>
  </si>
  <si>
    <t>Category</t>
  </si>
  <si>
    <t>Meat Pie</t>
  </si>
  <si>
    <t>Sub-Category</t>
  </si>
  <si>
    <t>Small (12 per case)</t>
  </si>
  <si>
    <t>Size (Meat Pie)</t>
  </si>
  <si>
    <t>Twin</t>
  </si>
  <si>
    <t>Twin Sausage Rolls - Retail</t>
  </si>
  <si>
    <t>Twin Sausage Rolls - Cooked 10 per case</t>
  </si>
  <si>
    <t>Required Margin:</t>
  </si>
  <si>
    <t>Kitchen Costings</t>
  </si>
  <si>
    <t>Jumbo Sausage Roll - Retail</t>
  </si>
  <si>
    <t>Ordered per shoulder- £15 per shoulder?? Approx start weight 3kg per shoulder. 2.2kg approx pulled meat.</t>
  </si>
  <si>
    <t>needs changing!</t>
  </si>
  <si>
    <t>2kg bag</t>
  </si>
  <si>
    <t>2kg per bag</t>
  </si>
  <si>
    <t>seems expensive</t>
  </si>
  <si>
    <t>£1.30 per strip</t>
  </si>
  <si>
    <t>per tray</t>
  </si>
  <si>
    <t>45 strips per tray</t>
  </si>
  <si>
    <t>£1.17 per strip</t>
  </si>
  <si>
    <t>Scotch Egg Meat</t>
  </si>
  <si>
    <t>Bacon Egg Meat</t>
  </si>
  <si>
    <t>Premium Sausage strip</t>
  </si>
  <si>
    <t>per strip</t>
  </si>
  <si>
    <t>Haslet meat 6lb</t>
  </si>
  <si>
    <t>6 per tray</t>
  </si>
  <si>
    <t xml:space="preserve">Haslet meat 1lb </t>
  </si>
  <si>
    <t>36 per tray</t>
  </si>
  <si>
    <t>per basket</t>
  </si>
  <si>
    <t>230 per basket</t>
  </si>
  <si>
    <t>per bucket</t>
  </si>
  <si>
    <t xml:space="preserve">Bratwurst </t>
  </si>
  <si>
    <t>per batch of 60</t>
  </si>
  <si>
    <t>12.5kg bucket</t>
  </si>
  <si>
    <t>Chorizo Sausage strip</t>
  </si>
  <si>
    <t>Pork Pie meat -mini</t>
  </si>
  <si>
    <t>per batch of 259</t>
  </si>
  <si>
    <t>Pork Pie meat - small</t>
  </si>
  <si>
    <t>per batch of 101</t>
  </si>
  <si>
    <t>Pork Pie meat - Med</t>
  </si>
  <si>
    <t>per batch of 50</t>
  </si>
  <si>
    <t>double to 2 a strip</t>
  </si>
  <si>
    <t>Cooked Chorizo</t>
  </si>
  <si>
    <t>Chicken &amp; Ham Pie - Cooked</t>
  </si>
  <si>
    <t>Chicken &amp; Ham Pie - Cooked case of 6</t>
  </si>
  <si>
    <t>Chicken &amp; Ham Pie - Cooked case of 9</t>
  </si>
  <si>
    <t>Chicken &amp; Ham Pie - Cooked case of 12</t>
  </si>
  <si>
    <t>Steak Pie - Cooked</t>
  </si>
  <si>
    <t>Steak Pie - Cooked (not packaged)</t>
  </si>
  <si>
    <t>Steak Pie - Cooked case of 6</t>
  </si>
  <si>
    <t>Steak Pie - Cooked case of 9</t>
  </si>
  <si>
    <t>Steak Pie - Frozen case of 12</t>
  </si>
  <si>
    <t>Steak Pie - Frozen</t>
  </si>
  <si>
    <t>Steak Pie - Cooked Case of 4</t>
  </si>
  <si>
    <t>Steak &amp; Ale Pie - Cooked</t>
  </si>
  <si>
    <t>Steak &amp; Ale Pie - Cooked case of 6</t>
  </si>
  <si>
    <t>Steak &amp; Ale Pie - Cooked case of 9</t>
  </si>
  <si>
    <t>Steak &amp; Ale Pie - Cooked case of 12</t>
  </si>
  <si>
    <t>Steak &amp; Ale Pie - Frozen</t>
  </si>
  <si>
    <t>Steak &amp; Ale Pie - Cooked case of 4</t>
  </si>
  <si>
    <t>Steak &amp; Kidney Pie - Cooked</t>
  </si>
  <si>
    <t>Steak &amp; Kidney Pie - Cooked case of 6</t>
  </si>
  <si>
    <t>Steak &amp; Kidney Pie - Cooked case of 9</t>
  </si>
  <si>
    <t>Steak &amp; Kidney Pie - Cooked case of 12</t>
  </si>
  <si>
    <t>Steak &amp; Kidney Pie - Frozen</t>
  </si>
  <si>
    <t>Steak &amp; Kidney Pie - Cooked case of 4</t>
  </si>
  <si>
    <t>Steak &amp; Stilton Pie - Cooked</t>
  </si>
  <si>
    <t>Steak &amp; Stilton Pie - Cooked case of 6</t>
  </si>
  <si>
    <t>Steak &amp; Stilton Pie - Cooked case of 9</t>
  </si>
  <si>
    <t>Steak &amp; Stilton Pie - Cooked case of 12</t>
  </si>
  <si>
    <t>Steak &amp; Stilton Pie - Frozen</t>
  </si>
  <si>
    <t>Steak &amp; Stilton Pie - Cooked case of 4</t>
  </si>
  <si>
    <t>Chicken &amp; Ham Pie - Frozen</t>
  </si>
  <si>
    <t>Chicken &amp; Ham Pie - Cooked case of 4</t>
  </si>
  <si>
    <t>Chicken &amp; Chorizo Pie - Cooked</t>
  </si>
  <si>
    <t>Chicken &amp; Chorizo Pie - Frozen</t>
  </si>
  <si>
    <t>Chicken &amp; Chorizo Pie - Cooked case of 4</t>
  </si>
  <si>
    <t>Chicken &amp; Chorizo Pie - Cooked case of 6</t>
  </si>
  <si>
    <t>Chicken &amp; Chorizo Pie - Cooked case of 9</t>
  </si>
  <si>
    <t>Chicken &amp; Chorizo Pie - Cooked case of 12</t>
  </si>
  <si>
    <t>Minimum Price</t>
  </si>
  <si>
    <t>Minimum Price Incl. VAT</t>
  </si>
  <si>
    <t>Pork Pie</t>
  </si>
  <si>
    <t>Hot Water Pastry</t>
  </si>
  <si>
    <t>2LB</t>
  </si>
  <si>
    <t>Small - Case of 5</t>
  </si>
  <si>
    <t>3LB</t>
  </si>
  <si>
    <t>Small - Case of 8</t>
  </si>
  <si>
    <t>Mini pack of 2</t>
  </si>
  <si>
    <t>Mini pack of 6</t>
  </si>
  <si>
    <t>Medium - Case of 4</t>
  </si>
  <si>
    <t>Medium - Case of 6</t>
  </si>
  <si>
    <t>Small case of 5</t>
  </si>
  <si>
    <t>Small case of 8</t>
  </si>
  <si>
    <t>Medium case of 4</t>
  </si>
  <si>
    <t>Medium case of 6</t>
  </si>
  <si>
    <t>Pork Pie - 2LB</t>
  </si>
  <si>
    <t>Pork Pie - 3LB</t>
  </si>
  <si>
    <t>Pork Pie - Mini</t>
  </si>
  <si>
    <t>Pork Pie - Small</t>
  </si>
  <si>
    <t>Pork Pie - Medium</t>
  </si>
  <si>
    <t>Pork Pie Meat from Butchery</t>
  </si>
  <si>
    <t>Units per tray</t>
  </si>
  <si>
    <t>Cost per unit</t>
  </si>
  <si>
    <t>Med</t>
  </si>
  <si>
    <t>Scotch Eggs</t>
  </si>
  <si>
    <t>Scotch Meat</t>
  </si>
  <si>
    <t>Egg Wash / Flour</t>
  </si>
  <si>
    <t>Individual x6</t>
  </si>
  <si>
    <t>Individual x9</t>
  </si>
  <si>
    <t>Twin x6</t>
  </si>
  <si>
    <t>Twin x9</t>
  </si>
  <si>
    <t>Sausage Meat</t>
  </si>
  <si>
    <t>Case of 6</t>
  </si>
  <si>
    <t>Whole Haslet</t>
  </si>
  <si>
    <t>Whole Haslet Case of 6</t>
  </si>
  <si>
    <t>Scotch Egg</t>
  </si>
  <si>
    <t>Single</t>
  </si>
  <si>
    <t>Scotch Egg Case of 6</t>
  </si>
  <si>
    <t>Scotch Egg Case of 9</t>
  </si>
  <si>
    <t>Sliced Haslet - 160g</t>
  </si>
  <si>
    <t>Shrinkage Calculation</t>
  </si>
  <si>
    <t>Start Weight</t>
  </si>
  <si>
    <t>Cook Shrinkage (90%)</t>
  </si>
  <si>
    <t>Slice Yielf (90%)</t>
  </si>
  <si>
    <t>Packs per Haslet</t>
  </si>
  <si>
    <t>per haslet</t>
  </si>
  <si>
    <t>Sliced Haslet - 120g</t>
  </si>
  <si>
    <t>Case of 12</t>
  </si>
  <si>
    <t>Sliced Haslet - 120g - Case of 6</t>
  </si>
  <si>
    <t>Sliced Haslet - 120g - Case of 12</t>
  </si>
  <si>
    <t>Sliced Haslet - 160g - Case of 6</t>
  </si>
  <si>
    <t>Sliced Haslet - 160g - Case of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</si>
</sst>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0.000"/>
    <numFmt numFmtId="166" formatCode="\£#,##0.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8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8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8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9" fontId="22" fillId="0" borderId="0" applyFont="0" applyFill="0" applyBorder="0" applyAlignment="0" applyProtection="0"/>
  </cellStyleXfs>
  <cellXfs count="269">
    <xf numFmtId="0" fontId="0" fillId="0" borderId="0" xfId="0"/>
    <xf numFmtId="164" fontId="8" fillId="2" borderId="0" xfId="0" applyNumberFormat="1" applyFont="1" applyFill="1" applyAlignment="1">
      <alignment vertical="center"/>
    </xf>
    <xf numFmtId="4" fontId="8" fillId="2" borderId="0" xfId="0" applyNumberFormat="1" applyFont="1" applyFill="1" applyAlignment="1">
      <alignment horizontal="center" vertical="center"/>
    </xf>
    <xf numFmtId="14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7" fillId="0" borderId="4" xfId="0" applyFont="1" applyBorder="1"/>
    <xf numFmtId="0" fontId="7" fillId="0" borderId="0" xfId="0" applyFont="1"/>
    <xf numFmtId="164" fontId="7" fillId="0" borderId="0" xfId="0" applyNumberFormat="1" applyFont="1"/>
    <xf numFmtId="164" fontId="7" fillId="0" borderId="5" xfId="0" applyNumberFormat="1" applyFont="1" applyBorder="1"/>
    <xf numFmtId="164" fontId="4" fillId="0" borderId="1" xfId="0" applyNumberFormat="1" applyFont="1" applyBorder="1"/>
    <xf numFmtId="164" fontId="10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164" fontId="4" fillId="0" borderId="5" xfId="0" applyNumberFormat="1" applyFont="1" applyBorder="1"/>
    <xf numFmtId="164" fontId="4" fillId="0" borderId="0" xfId="0" applyNumberFormat="1" applyFont="1"/>
    <xf numFmtId="0" fontId="7" fillId="0" borderId="1" xfId="0" applyFont="1" applyBorder="1"/>
    <xf numFmtId="0" fontId="4" fillId="0" borderId="7" xfId="0" applyFont="1" applyBorder="1" applyAlignment="1">
      <alignment wrapText="1"/>
    </xf>
    <xf numFmtId="164" fontId="6" fillId="0" borderId="5" xfId="0" applyNumberFormat="1" applyFont="1" applyBorder="1"/>
    <xf numFmtId="164" fontId="11" fillId="0" borderId="5" xfId="0" applyNumberFormat="1" applyFont="1" applyBorder="1"/>
    <xf numFmtId="164" fontId="11" fillId="0" borderId="0" xfId="0" applyNumberFormat="1" applyFont="1"/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/>
    <xf numFmtId="0" fontId="5" fillId="2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3" fillId="2" borderId="0" xfId="0" applyFont="1" applyFill="1"/>
    <xf numFmtId="0" fontId="6" fillId="0" borderId="1" xfId="0" applyFont="1" applyBorder="1"/>
    <xf numFmtId="0" fontId="2" fillId="0" borderId="0" xfId="0" applyFont="1"/>
    <xf numFmtId="0" fontId="8" fillId="0" borderId="0" xfId="0" applyFont="1"/>
    <xf numFmtId="164" fontId="8" fillId="0" borderId="0" xfId="0" applyNumberFormat="1" applyFont="1" applyAlignment="1">
      <alignment horizontal="left"/>
    </xf>
    <xf numFmtId="16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10" fontId="4" fillId="0" borderId="0" xfId="0" applyNumberFormat="1" applyFont="1"/>
    <xf numFmtId="17" fontId="2" fillId="0" borderId="0" xfId="0" applyNumberFormat="1" applyFont="1"/>
    <xf numFmtId="164" fontId="6" fillId="0" borderId="1" xfId="0" applyNumberFormat="1" applyFont="1" applyBorder="1"/>
    <xf numFmtId="164" fontId="7" fillId="0" borderId="1" xfId="0" applyNumberFormat="1" applyFont="1" applyBorder="1"/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0" fontId="13" fillId="2" borderId="0" xfId="0" applyFont="1" applyFill="1" applyAlignment="1">
      <alignment wrapText="1"/>
    </xf>
    <xf numFmtId="164" fontId="8" fillId="2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wrapText="1"/>
    </xf>
    <xf numFmtId="164" fontId="12" fillId="0" borderId="19" xfId="3" applyNumberFormat="1" applyFont="1" applyBorder="1"/>
    <xf numFmtId="164" fontId="1" fillId="0" borderId="1" xfId="3" applyNumberFormat="1" applyBorder="1"/>
    <xf numFmtId="0" fontId="7" fillId="0" borderId="18" xfId="3" applyFont="1" applyBorder="1"/>
    <xf numFmtId="0" fontId="1" fillId="0" borderId="0" xfId="3"/>
    <xf numFmtId="0" fontId="1" fillId="3" borderId="1" xfId="3" applyFill="1" applyBorder="1"/>
    <xf numFmtId="0" fontId="1" fillId="3" borderId="14" xfId="3" applyFill="1" applyBorder="1" applyAlignment="1">
      <alignment wrapText="1"/>
    </xf>
    <xf numFmtId="0" fontId="1" fillId="3" borderId="14" xfId="3" applyFill="1" applyBorder="1"/>
    <xf numFmtId="0" fontId="12" fillId="0" borderId="17" xfId="3" applyFont="1" applyBorder="1" applyAlignment="1">
      <alignment wrapText="1"/>
    </xf>
    <xf numFmtId="0" fontId="12" fillId="0" borderId="0" xfId="3" applyFont="1" applyAlignment="1">
      <alignment wrapText="1"/>
    </xf>
    <xf numFmtId="0" fontId="12" fillId="0" borderId="19" xfId="3" applyFont="1" applyBorder="1" applyAlignment="1">
      <alignment wrapText="1"/>
    </xf>
    <xf numFmtId="164" fontId="1" fillId="0" borderId="14" xfId="3" applyNumberFormat="1" applyBorder="1"/>
    <xf numFmtId="0" fontId="12" fillId="0" borderId="1" xfId="3" applyFont="1" applyBorder="1" applyAlignment="1">
      <alignment wrapText="1"/>
    </xf>
    <xf numFmtId="164" fontId="2" fillId="0" borderId="1" xfId="0" applyNumberFormat="1" applyFont="1" applyBorder="1"/>
    <xf numFmtId="0" fontId="7" fillId="0" borderId="16" xfId="3" applyFont="1" applyBorder="1" applyAlignment="1">
      <alignment vertical="top" wrapText="1"/>
    </xf>
    <xf numFmtId="164" fontId="12" fillId="0" borderId="0" xfId="3" applyNumberFormat="1" applyFont="1"/>
    <xf numFmtId="164" fontId="1" fillId="0" borderId="0" xfId="3" applyNumberFormat="1"/>
    <xf numFmtId="0" fontId="1" fillId="0" borderId="0" xfId="3" applyAlignment="1">
      <alignment wrapText="1"/>
    </xf>
    <xf numFmtId="164" fontId="2" fillId="0" borderId="0" xfId="0" applyNumberFormat="1" applyFont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4" fontId="10" fillId="0" borderId="0" xfId="0" applyNumberFormat="1" applyFont="1"/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3" borderId="1" xfId="0" applyNumberFormat="1" applyFont="1" applyFill="1" applyBorder="1"/>
    <xf numFmtId="14" fontId="7" fillId="0" borderId="0" xfId="0" applyNumberFormat="1" applyFont="1"/>
    <xf numFmtId="0" fontId="6" fillId="3" borderId="14" xfId="0" applyFont="1" applyFill="1" applyBorder="1" applyAlignment="1">
      <alignment horizontal="left"/>
    </xf>
    <xf numFmtId="0" fontId="4" fillId="4" borderId="1" xfId="0" applyFont="1" applyFill="1" applyBorder="1"/>
    <xf numFmtId="164" fontId="4" fillId="4" borderId="1" xfId="0" applyNumberFormat="1" applyFont="1" applyFill="1" applyBorder="1"/>
    <xf numFmtId="0" fontId="11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164" fontId="16" fillId="0" borderId="0" xfId="0" applyNumberFormat="1" applyFont="1"/>
    <xf numFmtId="0" fontId="11" fillId="0" borderId="5" xfId="0" applyFont="1" applyBorder="1"/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7" fillId="0" borderId="0" xfId="0" applyNumberFormat="1" applyFont="1" applyAlignment="1">
      <alignment horizontal="left" vertical="top"/>
    </xf>
    <xf numFmtId="4" fontId="7" fillId="0" borderId="0" xfId="0" applyNumberFormat="1" applyFont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7" fillId="2" borderId="0" xfId="0" applyFont="1" applyFill="1"/>
    <xf numFmtId="164" fontId="7" fillId="2" borderId="0" xfId="0" applyNumberFormat="1" applyFont="1" applyFill="1"/>
    <xf numFmtId="0" fontId="4" fillId="2" borderId="0" xfId="0" applyFont="1" applyFill="1"/>
    <xf numFmtId="164" fontId="4" fillId="2" borderId="0" xfId="0" applyNumberFormat="1" applyFont="1" applyFill="1"/>
    <xf numFmtId="164" fontId="10" fillId="2" borderId="0" xfId="0" applyNumberFormat="1" applyFont="1" applyFill="1"/>
    <xf numFmtId="164" fontId="11" fillId="2" borderId="0" xfId="0" applyNumberFormat="1" applyFont="1" applyFill="1"/>
    <xf numFmtId="164" fontId="10" fillId="0" borderId="0" xfId="0" applyNumberFormat="1" applyFont="1" applyAlignment="1">
      <alignment vertical="top" wrapText="1"/>
    </xf>
    <xf numFmtId="0" fontId="7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6" fillId="2" borderId="14" xfId="0" applyFont="1" applyFill="1" applyBorder="1" applyAlignment="1">
      <alignment horizontal="left"/>
    </xf>
    <xf numFmtId="0" fontId="4" fillId="2" borderId="1" xfId="0" applyFont="1" applyFill="1" applyBorder="1"/>
    <xf numFmtId="0" fontId="7" fillId="0" borderId="4" xfId="0" applyFont="1" applyBorder="1" applyAlignment="1">
      <alignment wrapText="1"/>
    </xf>
    <xf numFmtId="164" fontId="4" fillId="2" borderId="1" xfId="0" applyNumberFormat="1" applyFont="1" applyFill="1" applyBorder="1"/>
    <xf numFmtId="164" fontId="10" fillId="2" borderId="1" xfId="0" applyNumberFormat="1" applyFont="1" applyFill="1" applyBorder="1"/>
    <xf numFmtId="0" fontId="4" fillId="0" borderId="20" xfId="0" applyFont="1" applyBorder="1"/>
    <xf numFmtId="164" fontId="4" fillId="0" borderId="20" xfId="0" applyNumberFormat="1" applyFont="1" applyBorder="1"/>
    <xf numFmtId="164" fontId="11" fillId="0" borderId="21" xfId="0" applyNumberFormat="1" applyFont="1" applyBorder="1"/>
    <xf numFmtId="0" fontId="7" fillId="0" borderId="0" xfId="0" applyFont="1" applyAlignment="1">
      <alignment horizontal="left"/>
    </xf>
    <xf numFmtId="0" fontId="17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44" fontId="4" fillId="0" borderId="1" xfId="0" applyNumberFormat="1" applyFont="1" applyBorder="1"/>
    <xf numFmtId="44" fontId="0" fillId="0" borderId="0" xfId="0" applyNumberFormat="1"/>
    <xf numFmtId="0" fontId="10" fillId="0" borderId="0" xfId="0" applyFont="1"/>
    <xf numFmtId="8" fontId="7" fillId="0" borderId="0" xfId="0" applyNumberFormat="1" applyFont="1"/>
    <xf numFmtId="164" fontId="0" fillId="0" borderId="0" xfId="0" applyNumberFormat="1"/>
    <xf numFmtId="164" fontId="6" fillId="5" borderId="1" xfId="0" applyNumberFormat="1" applyFont="1" applyFill="1" applyBorder="1"/>
    <xf numFmtId="0" fontId="6" fillId="5" borderId="14" xfId="0" applyFont="1" applyFill="1" applyBorder="1" applyAlignment="1">
      <alignment horizontal="left"/>
    </xf>
    <xf numFmtId="0" fontId="7" fillId="0" borderId="1" xfId="3" applyFont="1" applyBorder="1" applyAlignment="1">
      <alignment vertical="top" wrapText="1"/>
    </xf>
    <xf numFmtId="0" fontId="7" fillId="0" borderId="1" xfId="3" applyFont="1" applyBorder="1"/>
    <xf numFmtId="164" fontId="6" fillId="6" borderId="1" xfId="0" applyNumberFormat="1" applyFont="1" applyFill="1" applyBorder="1"/>
    <xf numFmtId="0" fontId="4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164" fontId="10" fillId="2" borderId="0" xfId="0" applyNumberFormat="1" applyFont="1" applyFill="1" applyAlignment="1">
      <alignment vertical="top" wrapText="1"/>
    </xf>
    <xf numFmtId="0" fontId="0" fillId="2" borderId="0" xfId="0" applyFill="1"/>
    <xf numFmtId="0" fontId="19" fillId="0" borderId="1" xfId="0" applyFont="1" applyBorder="1" applyAlignment="1">
      <alignment horizontal="left" wrapText="1"/>
    </xf>
    <xf numFmtId="165" fontId="0" fillId="0" borderId="1" xfId="0" applyNumberFormat="1" applyBorder="1" applyAlignment="1">
      <alignment horizontal="right" wrapText="1"/>
    </xf>
    <xf numFmtId="166" fontId="0" fillId="0" borderId="1" xfId="0" applyNumberFormat="1" applyBorder="1" applyAlignment="1">
      <alignment horizontal="right" wrapText="1"/>
    </xf>
    <xf numFmtId="0" fontId="20" fillId="0" borderId="1" xfId="0" applyFont="1" applyBorder="1" applyAlignment="1">
      <alignment horizontal="left" wrapText="1"/>
    </xf>
    <xf numFmtId="10" fontId="0" fillId="0" borderId="1" xfId="0" applyNumberFormat="1" applyBorder="1" applyAlignment="1">
      <alignment horizontal="right" wrapText="1"/>
    </xf>
    <xf numFmtId="0" fontId="19" fillId="0" borderId="1" xfId="0" applyFont="1" applyBorder="1" applyAlignment="1">
      <alignment horizontal="left"/>
    </xf>
    <xf numFmtId="0" fontId="18" fillId="7" borderId="14" xfId="0" applyFont="1" applyFill="1" applyBorder="1" applyAlignment="1">
      <alignment wrapText="1"/>
    </xf>
    <xf numFmtId="0" fontId="18" fillId="7" borderId="2" xfId="0" applyFont="1" applyFill="1" applyBorder="1" applyAlignment="1">
      <alignment wrapText="1"/>
    </xf>
    <xf numFmtId="0" fontId="0" fillId="0" borderId="1" xfId="0" applyBorder="1" applyAlignment="1">
      <alignment horizontal="right" wrapText="1"/>
    </xf>
    <xf numFmtId="164" fontId="0" fillId="0" borderId="1" xfId="0" applyNumberFormat="1" applyBorder="1" applyAlignment="1">
      <alignment horizontal="right" wrapText="1"/>
    </xf>
    <xf numFmtId="0" fontId="19" fillId="2" borderId="1" xfId="0" applyFont="1" applyFill="1" applyBorder="1" applyAlignment="1">
      <alignment horizontal="left" wrapText="1"/>
    </xf>
    <xf numFmtId="165" fontId="0" fillId="2" borderId="1" xfId="0" applyNumberFormat="1" applyFill="1" applyBorder="1" applyAlignment="1">
      <alignment horizontal="right" wrapText="1"/>
    </xf>
    <xf numFmtId="0" fontId="0" fillId="2" borderId="1" xfId="0" applyFill="1" applyBorder="1" applyAlignment="1">
      <alignment horizontal="right" wrapText="1"/>
    </xf>
    <xf numFmtId="164" fontId="0" fillId="2" borderId="1" xfId="0" applyNumberFormat="1" applyFill="1" applyBorder="1" applyAlignment="1">
      <alignment horizontal="right" wrapText="1"/>
    </xf>
    <xf numFmtId="166" fontId="0" fillId="2" borderId="1" xfId="0" applyNumberFormat="1" applyFill="1" applyBorder="1" applyAlignment="1">
      <alignment horizontal="right" wrapText="1"/>
    </xf>
    <xf numFmtId="0" fontId="20" fillId="2" borderId="1" xfId="0" applyFont="1" applyFill="1" applyBorder="1" applyAlignment="1">
      <alignment horizontal="left" wrapText="1"/>
    </xf>
    <xf numFmtId="10" fontId="0" fillId="2" borderId="1" xfId="0" applyNumberFormat="1" applyFill="1" applyBorder="1" applyAlignment="1">
      <alignment horizontal="right" wrapText="1"/>
    </xf>
    <xf numFmtId="0" fontId="19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wrapText="1"/>
    </xf>
    <xf numFmtId="164" fontId="7" fillId="2" borderId="1" xfId="0" applyNumberFormat="1" applyFont="1" applyFill="1" applyBorder="1"/>
    <xf numFmtId="0" fontId="7" fillId="2" borderId="1" xfId="0" applyFont="1" applyFill="1" applyBorder="1" applyAlignment="1">
      <alignment horizontal="left" wrapText="1"/>
    </xf>
    <xf numFmtId="44" fontId="4" fillId="0" borderId="0" xfId="0" applyNumberFormat="1" applyFont="1"/>
    <xf numFmtId="0" fontId="4" fillId="0" borderId="0" xfId="0" applyFont="1" applyAlignment="1">
      <alignment wrapText="1"/>
    </xf>
    <xf numFmtId="6" fontId="2" fillId="0" borderId="0" xfId="0" applyNumberFormat="1" applyFont="1"/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8" borderId="1" xfId="0" applyFont="1" applyFill="1" applyBorder="1"/>
    <xf numFmtId="164" fontId="4" fillId="8" borderId="1" xfId="0" applyNumberFormat="1" applyFont="1" applyFill="1" applyBorder="1"/>
    <xf numFmtId="164" fontId="10" fillId="0" borderId="14" xfId="0" applyNumberFormat="1" applyFont="1" applyBorder="1"/>
    <xf numFmtId="164" fontId="4" fillId="0" borderId="14" xfId="0" applyNumberFormat="1" applyFont="1" applyBorder="1"/>
    <xf numFmtId="0" fontId="4" fillId="0" borderId="9" xfId="0" applyFont="1" applyBorder="1"/>
    <xf numFmtId="164" fontId="7" fillId="0" borderId="3" xfId="0" applyNumberFormat="1" applyFont="1" applyBorder="1" applyAlignment="1">
      <alignment horizontal="left"/>
    </xf>
    <xf numFmtId="0" fontId="0" fillId="0" borderId="3" xfId="0" applyBorder="1"/>
    <xf numFmtId="164" fontId="7" fillId="0" borderId="3" xfId="0" applyNumberFormat="1" applyFont="1" applyBorder="1" applyAlignment="1">
      <alignment vertical="center"/>
    </xf>
    <xf numFmtId="4" fontId="7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7" fillId="9" borderId="0" xfId="0" applyFont="1" applyFill="1"/>
    <xf numFmtId="0" fontId="0" fillId="9" borderId="0" xfId="0" applyFill="1"/>
    <xf numFmtId="0" fontId="4" fillId="9" borderId="0" xfId="0" applyFont="1" applyFill="1"/>
    <xf numFmtId="164" fontId="4" fillId="9" borderId="0" xfId="0" applyNumberFormat="1" applyFont="1" applyFill="1"/>
    <xf numFmtId="164" fontId="11" fillId="9" borderId="0" xfId="0" applyNumberFormat="1" applyFont="1" applyFill="1"/>
    <xf numFmtId="0" fontId="4" fillId="9" borderId="0" xfId="0" applyFont="1" applyFill="1" applyAlignment="1">
      <alignment vertical="top" wrapText="1"/>
    </xf>
    <xf numFmtId="0" fontId="4" fillId="3" borderId="2" xfId="0" applyFont="1" applyFill="1" applyBorder="1"/>
    <xf numFmtId="0" fontId="7" fillId="0" borderId="10" xfId="0" applyFont="1" applyBorder="1"/>
    <xf numFmtId="0" fontId="4" fillId="0" borderId="23" xfId="0" applyFont="1" applyBorder="1"/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0" borderId="0" xfId="0" applyFont="1" applyFill="1" applyAlignment="1">
      <alignment vertical="center" wrapText="1"/>
    </xf>
    <xf numFmtId="0" fontId="25" fillId="10" borderId="0" xfId="0" applyFont="1" applyFill="1" applyAlignment="1">
      <alignment vertical="center"/>
    </xf>
    <xf numFmtId="14" fontId="5" fillId="10" borderId="0" xfId="0" applyNumberFormat="1" applyFont="1" applyFill="1" applyAlignment="1">
      <alignment vertical="center" wrapText="1"/>
    </xf>
    <xf numFmtId="14" fontId="5" fillId="10" borderId="0" xfId="0" applyNumberFormat="1" applyFont="1" applyFill="1" applyAlignment="1">
      <alignment vertical="center"/>
    </xf>
    <xf numFmtId="0" fontId="25" fillId="10" borderId="3" xfId="0" applyFont="1" applyFill="1" applyBorder="1" applyAlignment="1">
      <alignment vertical="center" wrapText="1"/>
    </xf>
    <xf numFmtId="0" fontId="5" fillId="10" borderId="3" xfId="0" applyFont="1" applyFill="1" applyBorder="1" applyAlignment="1">
      <alignment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7" fillId="11" borderId="0" xfId="0" applyFont="1" applyFill="1"/>
    <xf numFmtId="0" fontId="4" fillId="11" borderId="0" xfId="0" applyFont="1" applyFill="1" applyAlignment="1">
      <alignment horizontal="left" vertical="top" wrapText="1"/>
    </xf>
    <xf numFmtId="0" fontId="4" fillId="11" borderId="0" xfId="0" applyFont="1" applyFill="1" applyAlignment="1">
      <alignment vertical="top" wrapText="1"/>
    </xf>
    <xf numFmtId="0" fontId="4" fillId="11" borderId="0" xfId="0" applyFont="1" applyFill="1"/>
    <xf numFmtId="164" fontId="4" fillId="8" borderId="14" xfId="0" applyNumberFormat="1" applyFont="1" applyFill="1" applyBorder="1"/>
    <xf numFmtId="164" fontId="10" fillId="9" borderId="0" xfId="0" applyNumberFormat="1" applyFont="1" applyFill="1"/>
    <xf numFmtId="164" fontId="7" fillId="9" borderId="0" xfId="0" applyNumberFormat="1" applyFont="1" applyFill="1" applyAlignment="1">
      <alignment horizontal="center" vertical="center"/>
    </xf>
    <xf numFmtId="0" fontId="7" fillId="0" borderId="3" xfId="0" applyFont="1" applyBorder="1"/>
    <xf numFmtId="9" fontId="10" fillId="0" borderId="0" xfId="10" applyFont="1" applyBorder="1"/>
    <xf numFmtId="0" fontId="25" fillId="10" borderId="3" xfId="0" applyFont="1" applyFill="1" applyBorder="1" applyAlignment="1">
      <alignment vertical="center"/>
    </xf>
    <xf numFmtId="14" fontId="7" fillId="0" borderId="3" xfId="0" applyNumberFormat="1" applyFont="1" applyBorder="1"/>
    <xf numFmtId="164" fontId="7" fillId="0" borderId="3" xfId="0" applyNumberFormat="1" applyFont="1" applyBorder="1"/>
    <xf numFmtId="164" fontId="10" fillId="3" borderId="0" xfId="0" applyNumberFormat="1" applyFont="1" applyFill="1"/>
    <xf numFmtId="164" fontId="4" fillId="3" borderId="14" xfId="0" applyNumberFormat="1" applyFont="1" applyFill="1" applyBorder="1"/>
    <xf numFmtId="2" fontId="4" fillId="0" borderId="14" xfId="0" applyNumberFormat="1" applyFont="1" applyBorder="1"/>
    <xf numFmtId="0" fontId="6" fillId="2" borderId="0" xfId="0" applyFont="1" applyFill="1"/>
    <xf numFmtId="9" fontId="10" fillId="0" borderId="0" xfId="0" applyNumberFormat="1" applyFont="1"/>
    <xf numFmtId="9" fontId="10" fillId="0" borderId="0" xfId="10" applyFont="1"/>
    <xf numFmtId="164" fontId="6" fillId="2" borderId="0" xfId="0" applyNumberFormat="1" applyFont="1" applyFill="1"/>
    <xf numFmtId="9" fontId="6" fillId="2" borderId="0" xfId="10" applyFont="1" applyFill="1" applyBorder="1"/>
    <xf numFmtId="0" fontId="0" fillId="0" borderId="0" xfId="0" applyAlignment="1">
      <alignment horizontal="left"/>
    </xf>
    <xf numFmtId="0" fontId="21" fillId="12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17" fontId="21" fillId="12" borderId="0" xfId="0" applyNumberFormat="1" applyFont="1" applyFill="1" applyAlignment="1">
      <alignment horizontal="left"/>
    </xf>
    <xf numFmtId="0" fontId="21" fillId="12" borderId="3" xfId="0" applyFont="1" applyFill="1" applyBorder="1"/>
    <xf numFmtId="0" fontId="4" fillId="12" borderId="3" xfId="0" applyFont="1" applyFill="1" applyBorder="1"/>
    <xf numFmtId="0" fontId="4" fillId="0" borderId="3" xfId="0" applyFont="1" applyBorder="1"/>
    <xf numFmtId="0" fontId="4" fillId="0" borderId="0" xfId="0" applyFont="1" applyAlignment="1">
      <alignment horizontal="left"/>
    </xf>
    <xf numFmtId="0" fontId="4" fillId="4" borderId="2" xfId="0" applyFont="1" applyFill="1" applyBorder="1"/>
    <xf numFmtId="164" fontId="7" fillId="9" borderId="0" xfId="0" applyNumberFormat="1" applyFont="1" applyFill="1" applyAlignment="1">
      <alignment horizontal="center"/>
    </xf>
    <xf numFmtId="0" fontId="0" fillId="12" borderId="0" xfId="0" applyFill="1" applyAlignment="1">
      <alignment horizontal="left"/>
    </xf>
    <xf numFmtId="0" fontId="4" fillId="12" borderId="0" xfId="0" applyFont="1" applyFill="1"/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 wrapText="1"/>
    </xf>
    <xf numFmtId="164" fontId="6" fillId="9" borderId="0" xfId="0" applyNumberFormat="1" applyFont="1" applyFill="1" applyAlignment="1">
      <alignment horizontal="center"/>
    </xf>
    <xf numFmtId="164" fontId="4" fillId="0" borderId="24" xfId="0" applyNumberFormat="1" applyFont="1" applyBorder="1"/>
    <xf numFmtId="164" fontId="4" fillId="0" borderId="7" xfId="0" applyNumberFormat="1" applyFont="1" applyBorder="1"/>
    <xf numFmtId="164" fontId="10" fillId="0" borderId="22" xfId="0" applyNumberFormat="1" applyFont="1" applyBorder="1"/>
    <xf numFmtId="0" fontId="4" fillId="0" borderId="2" xfId="0" applyFont="1" applyBorder="1"/>
    <xf numFmtId="0" fontId="4" fillId="3" borderId="24" xfId="0" applyFont="1" applyFill="1" applyBorder="1"/>
    <xf numFmtId="0" fontId="4" fillId="0" borderId="7" xfId="0" applyFont="1" applyBorder="1"/>
    <xf numFmtId="0" fontId="0" fillId="0" borderId="9" xfId="0" applyBorder="1"/>
    <xf numFmtId="164" fontId="4" fillId="0" borderId="3" xfId="0" applyNumberFormat="1" applyFont="1" applyBorder="1"/>
    <xf numFmtId="164" fontId="11" fillId="0" borderId="3" xfId="0" applyNumberFormat="1" applyFont="1" applyBorder="1"/>
    <xf numFmtId="0" fontId="4" fillId="3" borderId="22" xfId="0" applyFont="1" applyFill="1" applyBorder="1"/>
    <xf numFmtId="164" fontId="4" fillId="0" borderId="22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8" fillId="7" borderId="14" xfId="0" applyFont="1" applyFill="1" applyBorder="1" applyAlignment="1">
      <alignment horizontal="center" wrapText="1"/>
    </xf>
    <xf numFmtId="0" fontId="18" fillId="7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7" fillId="2" borderId="0" xfId="0" applyFont="1" applyFill="1" applyAlignment="1">
      <alignment horizontal="left" wrapText="1"/>
    </xf>
    <xf numFmtId="164" fontId="7" fillId="0" borderId="0" xfId="0" applyNumberFormat="1" applyFont="1" applyAlignment="1">
      <alignment horizontal="left" vertical="top" wrapText="1"/>
    </xf>
    <xf numFmtId="10" fontId="7" fillId="0" borderId="0" xfId="0" applyNumberFormat="1" applyFont="1" applyAlignment="1">
      <alignment horizontal="center" vertical="top" wrapText="1"/>
    </xf>
    <xf numFmtId="0" fontId="7" fillId="0" borderId="0" xfId="0" applyFont="1" applyBorder="1"/>
    <xf numFmtId="0" fontId="4" fillId="0" borderId="0" xfId="0" applyFont="1" applyBorder="1"/>
    <xf numFmtId="164" fontId="6" fillId="2" borderId="0" xfId="0" applyNumberFormat="1" applyFont="1" applyFill="1" applyAlignment="1"/>
    <xf numFmtId="164" fontId="10" fillId="9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0" fontId="0" fillId="3" borderId="0" xfId="0" applyFill="1"/>
  </cellXfs>
  <cellStyles count="11">
    <cellStyle name="Comma 2" xfId="4" xr:uid="{00000000-0005-0000-0000-000000000000}"/>
    <cellStyle name="Currency 2" xfId="6" xr:uid="{00000000-0005-0000-0000-000001000000}"/>
    <cellStyle name="Currency 3" xfId="8" xr:uid="{00000000-0005-0000-0000-000002000000}"/>
    <cellStyle name="Currency 4" xfId="5" xr:uid="{00000000-0005-0000-0000-000003000000}"/>
    <cellStyle name="Hyperlink 2" xfId="9" xr:uid="{00000000-0005-0000-0000-000004000000}"/>
    <cellStyle name="Normal" xfId="0" builtinId="0"/>
    <cellStyle name="Normal 2" xfId="1" xr:uid="{00000000-0005-0000-0000-000006000000}"/>
    <cellStyle name="Normal 3" xfId="3" xr:uid="{00000000-0005-0000-0000-000007000000}"/>
    <cellStyle name="Percent" xfId="10" builtinId="5"/>
    <cellStyle name="Percent 2" xfId="2" xr:uid="{00000000-0005-0000-0000-000008000000}"/>
    <cellStyle name="Percent 2 2" xfId="7" xr:uid="{00000000-0005-0000-0000-000009000000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£&quot;#,##0.0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£&quot;#,##0.0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&quot;£&quot;#,##0.00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8B558-5CD7-446B-B69A-9484E6830B4F}" name="Table1" displayName="Table1" ref="B6:K85" totalsRowShown="0" headerRowDxfId="11" dataDxfId="10">
  <autoFilter ref="B6:K85" xr:uid="{9D98B558-5CD7-446B-B69A-9484E6830B4F}">
    <filterColumn colId="1">
      <filters>
        <filter val="Haslet"/>
        <filter val="Scotch Egg"/>
      </filters>
    </filterColumn>
  </autoFilter>
  <sortState xmlns:xlrd2="http://schemas.microsoft.com/office/spreadsheetml/2017/richdata2" ref="B72:K85">
    <sortCondition ref="C6:C85"/>
  </sortState>
  <tableColumns count="10">
    <tableColumn id="1" xr3:uid="{0D6FA03A-A270-4642-B043-18AB89A049EE}" name="Product" dataDxfId="9"/>
    <tableColumn id="7" xr3:uid="{A960414A-4394-498A-9E2D-896B87754921}" name="Category" dataDxfId="8"/>
    <tableColumn id="8" xr3:uid="{573C4185-6B17-43DD-8F36-7D5746E33526}" name="Sub-Category" dataDxfId="7"/>
    <tableColumn id="9" xr3:uid="{37FA7DCA-43BD-408E-9766-DE70C1A52C40}" name="Size (Meat Pie)" dataDxfId="6"/>
    <tableColumn id="2" xr3:uid="{0BBA1BD3-D686-4C41-811C-7F7799410F0E}" name="COGS" dataDxfId="5"/>
    <tableColumn id="3" xr3:uid="{E9161487-06FB-4F85-A91D-6682AA32B017}" name="Kitchen Margin" dataDxfId="4">
      <calculatedColumnFormula>F$4</calculatedColumnFormula>
    </tableColumn>
    <tableColumn id="4" xr3:uid="{E68BBC5E-A9E3-4828-AD45-FDD4A6630514}" name="Kitchen Price" dataDxfId="3">
      <calculatedColumnFormula>F7*(G7+1)</calculatedColumnFormula>
    </tableColumn>
    <tableColumn id="5" xr3:uid="{0505CC82-B2F0-442A-B6CA-0F7107D62A17}" name="Van Sales Margin" dataDxfId="2">
      <calculatedColumnFormula>J$4</calculatedColumnFormula>
    </tableColumn>
    <tableColumn id="6" xr3:uid="{E7CD58F8-318B-4FA4-879B-45F735269EC4}" name="Minimum Price" dataDxfId="1">
      <calculatedColumnFormula>H7*(1+$J$4)</calculatedColumnFormula>
    </tableColumn>
    <tableColumn id="10" xr3:uid="{87F2F9FB-4F9B-4973-B21C-48926B8C2CC3}" name="Minimum Price Incl. VAT" dataDxfId="0">
      <calculatedColumnFormula>Table1[[#This Row],[Minimum Price]]*1.2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5EF177-BDD0-4232-B286-9A1E925E9EEC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workbookViewId="0">
      <selection activeCell="B10" sqref="B10"/>
    </sheetView>
  </sheetViews>
  <sheetFormatPr defaultRowHeight="12.5" x14ac:dyDescent="0.25"/>
  <cols>
    <col min="1" max="1" width="27.1796875" customWidth="1"/>
    <col min="2" max="2" width="11.453125" customWidth="1"/>
    <col min="3" max="3" width="10.54296875" customWidth="1"/>
  </cols>
  <sheetData>
    <row r="1" spans="1:6" ht="15.5" x14ac:dyDescent="0.25">
      <c r="A1" s="229" t="s">
        <v>23</v>
      </c>
      <c r="B1" s="229"/>
      <c r="C1" s="229"/>
      <c r="D1" s="229"/>
      <c r="E1" s="229"/>
      <c r="F1" s="229"/>
    </row>
    <row r="2" spans="1:6" ht="15.5" x14ac:dyDescent="0.25">
      <c r="A2" s="230" t="s">
        <v>326</v>
      </c>
      <c r="B2" s="230"/>
      <c r="C2" s="230"/>
      <c r="D2" s="230"/>
      <c r="E2" s="230"/>
      <c r="F2" s="230"/>
    </row>
    <row r="3" spans="1:6" ht="45" customHeight="1" x14ac:dyDescent="0.35">
      <c r="A3" s="12"/>
      <c r="B3" s="111" t="s">
        <v>368</v>
      </c>
      <c r="C3" s="111" t="s">
        <v>327</v>
      </c>
      <c r="D3" s="112" t="s">
        <v>340</v>
      </c>
      <c r="E3" s="112" t="s">
        <v>341</v>
      </c>
      <c r="F3" s="112" t="s">
        <v>370</v>
      </c>
    </row>
    <row r="4" spans="1:6" ht="15.5" x14ac:dyDescent="0.35">
      <c r="A4" s="16" t="s">
        <v>329</v>
      </c>
      <c r="B4" s="12"/>
      <c r="C4" s="12"/>
      <c r="D4" s="12"/>
      <c r="E4" s="12"/>
      <c r="F4" s="12"/>
    </row>
    <row r="5" spans="1:6" ht="13" x14ac:dyDescent="0.3">
      <c r="A5" s="12" t="s">
        <v>330</v>
      </c>
      <c r="B5" s="114">
        <f>'Steak Pie v2'!D66</f>
        <v>1.4234610182027438</v>
      </c>
      <c r="C5" s="12"/>
      <c r="D5" s="12">
        <v>1</v>
      </c>
      <c r="E5" s="12"/>
      <c r="F5" s="12"/>
    </row>
    <row r="6" spans="1:6" ht="13" x14ac:dyDescent="0.3">
      <c r="A6" s="12" t="s">
        <v>331</v>
      </c>
      <c r="B6" s="114" t="e">
        <f ca="1">'Steak &amp; Ale Pie'!D56</f>
        <v>#NAME?</v>
      </c>
      <c r="C6" s="12"/>
      <c r="D6" s="12">
        <v>1</v>
      </c>
      <c r="E6" s="12"/>
      <c r="F6" s="12"/>
    </row>
    <row r="7" spans="1:6" ht="13" x14ac:dyDescent="0.3">
      <c r="A7" s="12" t="s">
        <v>332</v>
      </c>
      <c r="B7" s="114">
        <f>'Steak &amp; Kidney Pie'!D52</f>
        <v>1.5362968623197555</v>
      </c>
      <c r="C7" s="12"/>
      <c r="D7" s="12">
        <v>1</v>
      </c>
      <c r="E7" s="12"/>
      <c r="F7" s="12"/>
    </row>
    <row r="8" spans="1:6" ht="13" x14ac:dyDescent="0.3">
      <c r="A8" s="12" t="s">
        <v>333</v>
      </c>
      <c r="B8" s="114">
        <f>'Steak &amp; Stilton Pie'!D53</f>
        <v>1.6345875614126204</v>
      </c>
      <c r="C8" s="12"/>
      <c r="D8" s="12"/>
      <c r="E8" s="12"/>
      <c r="F8" s="12"/>
    </row>
    <row r="9" spans="1:6" ht="13" x14ac:dyDescent="0.3">
      <c r="A9" s="12" t="s">
        <v>334</v>
      </c>
      <c r="B9" s="114">
        <f>'C&amp;H Pie'!D49</f>
        <v>1.2106155610937173</v>
      </c>
      <c r="C9" s="12"/>
      <c r="D9" s="12">
        <v>1</v>
      </c>
      <c r="E9" s="12"/>
      <c r="F9" s="12"/>
    </row>
    <row r="10" spans="1:6" ht="13" x14ac:dyDescent="0.3">
      <c r="A10" s="12" t="s">
        <v>336</v>
      </c>
      <c r="B10" s="114">
        <f>'C&amp;C Pie'!D62</f>
        <v>1.2049576199190097</v>
      </c>
      <c r="C10" s="12"/>
      <c r="D10" s="12">
        <v>1</v>
      </c>
      <c r="E10" s="12"/>
      <c r="F10" s="12"/>
    </row>
    <row r="11" spans="1:6" ht="13" x14ac:dyDescent="0.3">
      <c r="A11" s="12" t="s">
        <v>337</v>
      </c>
      <c r="B11" s="114">
        <f>'C&amp;S Pie'!D52</f>
        <v>1.263638251476408</v>
      </c>
      <c r="C11" s="12"/>
      <c r="D11" s="12">
        <v>1</v>
      </c>
      <c r="E11" s="12"/>
      <c r="F11" s="12"/>
    </row>
    <row r="12" spans="1:6" ht="13" x14ac:dyDescent="0.3">
      <c r="A12" s="12" t="s">
        <v>335</v>
      </c>
      <c r="B12" s="114">
        <f>'Pulled Pork Pie'!D50</f>
        <v>1.3805483240453484</v>
      </c>
      <c r="C12" s="12"/>
      <c r="D12" s="12">
        <v>1</v>
      </c>
      <c r="E12" s="12"/>
      <c r="F12" s="12"/>
    </row>
    <row r="13" spans="1:6" ht="13" x14ac:dyDescent="0.3">
      <c r="A13" s="12" t="s">
        <v>193</v>
      </c>
      <c r="B13" s="114">
        <f>'Ham Hock Pie'!D52</f>
        <v>1.2270388106932091</v>
      </c>
      <c r="C13" s="12"/>
      <c r="D13" s="12">
        <v>1</v>
      </c>
      <c r="E13" s="12"/>
      <c r="F13" s="12"/>
    </row>
    <row r="14" spans="1:6" ht="14.5" x14ac:dyDescent="0.35">
      <c r="A14" s="110" t="s">
        <v>342</v>
      </c>
      <c r="B14" s="114"/>
      <c r="C14" s="12"/>
      <c r="D14" s="12"/>
      <c r="E14" s="12"/>
      <c r="F14" s="12"/>
    </row>
    <row r="15" spans="1:6" ht="13" x14ac:dyDescent="0.3">
      <c r="A15" s="12"/>
      <c r="B15" s="114"/>
      <c r="C15" s="12"/>
      <c r="D15" s="12"/>
      <c r="E15" s="12"/>
      <c r="F15" s="12"/>
    </row>
    <row r="16" spans="1:6" ht="15.5" x14ac:dyDescent="0.35">
      <c r="A16" s="16" t="s">
        <v>338</v>
      </c>
      <c r="B16" s="114"/>
      <c r="C16" s="12"/>
      <c r="D16" s="12"/>
      <c r="E16" s="12"/>
      <c r="F16" s="12"/>
    </row>
    <row r="17" spans="1:6" ht="13" x14ac:dyDescent="0.3">
      <c r="A17" s="12" t="s">
        <v>330</v>
      </c>
      <c r="B17" s="114">
        <f>'Steak Pie v2'!I66</f>
        <v>2.6404445854937055</v>
      </c>
      <c r="C17" s="12"/>
      <c r="D17" s="12">
        <v>2</v>
      </c>
      <c r="E17" s="12"/>
      <c r="F17" s="12"/>
    </row>
    <row r="18" spans="1:6" ht="13" x14ac:dyDescent="0.3">
      <c r="A18" s="12" t="s">
        <v>331</v>
      </c>
      <c r="B18" s="114" t="e">
        <f>'Steak &amp; Ale Pie'!I56</f>
        <v>#REF!</v>
      </c>
      <c r="C18" s="12"/>
      <c r="D18" s="12">
        <v>2</v>
      </c>
      <c r="E18" s="12"/>
      <c r="F18" s="12"/>
    </row>
    <row r="19" spans="1:6" ht="13" x14ac:dyDescent="0.3">
      <c r="A19" s="12" t="s">
        <v>332</v>
      </c>
      <c r="B19" s="114">
        <f>'Steak &amp; Kidney Pie'!I52</f>
        <v>2.5079358542260084</v>
      </c>
      <c r="C19" s="12"/>
      <c r="D19" s="12">
        <v>2</v>
      </c>
      <c r="E19" s="12"/>
      <c r="F19" s="12"/>
    </row>
    <row r="20" spans="1:6" ht="13" x14ac:dyDescent="0.3">
      <c r="A20" s="12" t="s">
        <v>333</v>
      </c>
      <c r="B20" s="114">
        <f>'Steak &amp; Stilton Pie'!I53</f>
        <v>2.7026668077159273</v>
      </c>
      <c r="C20" s="12"/>
      <c r="D20" s="12"/>
      <c r="E20" s="12"/>
      <c r="F20" s="12"/>
    </row>
    <row r="21" spans="1:6" ht="13" x14ac:dyDescent="0.3">
      <c r="A21" s="12" t="s">
        <v>334</v>
      </c>
      <c r="B21" s="114">
        <f>'C&amp;H Pie'!I50</f>
        <v>2.4726485345755314</v>
      </c>
      <c r="C21" s="12"/>
      <c r="D21" s="12">
        <v>2</v>
      </c>
      <c r="E21" s="12"/>
      <c r="F21" s="12"/>
    </row>
    <row r="22" spans="1:6" ht="13" x14ac:dyDescent="0.3">
      <c r="A22" s="12" t="s">
        <v>336</v>
      </c>
      <c r="B22" s="114">
        <f>'C&amp;C Pie'!I62</f>
        <v>1.8928079463825478</v>
      </c>
      <c r="C22" s="12"/>
      <c r="D22" s="12">
        <v>2</v>
      </c>
      <c r="E22" s="12"/>
      <c r="F22" s="12"/>
    </row>
    <row r="23" spans="1:6" ht="13" x14ac:dyDescent="0.3">
      <c r="A23" s="12" t="s">
        <v>337</v>
      </c>
      <c r="B23" s="114">
        <f>'C&amp;S Pie'!I52</f>
        <v>2.0032005396575365</v>
      </c>
      <c r="C23" s="12"/>
      <c r="D23" s="12">
        <v>2</v>
      </c>
      <c r="E23" s="12"/>
      <c r="F23" s="12"/>
    </row>
    <row r="24" spans="1:6" ht="13" x14ac:dyDescent="0.3">
      <c r="A24" s="12" t="s">
        <v>335</v>
      </c>
      <c r="B24" s="114">
        <f>'Pulled Pork Pie'!I50</f>
        <v>2.2361144051630997</v>
      </c>
      <c r="C24" s="12"/>
      <c r="D24" s="12">
        <v>2</v>
      </c>
      <c r="E24" s="12"/>
      <c r="F24" s="12"/>
    </row>
    <row r="25" spans="1:6" ht="13" x14ac:dyDescent="0.3">
      <c r="A25" s="12" t="s">
        <v>193</v>
      </c>
      <c r="B25" s="114">
        <f>'Ham Hock Pie'!I52</f>
        <v>2.1971121045169624</v>
      </c>
      <c r="C25" s="12"/>
      <c r="D25" s="12">
        <v>2</v>
      </c>
      <c r="E25" s="12"/>
      <c r="F25" s="12"/>
    </row>
    <row r="26" spans="1:6" ht="14.5" x14ac:dyDescent="0.35">
      <c r="A26" s="110" t="s">
        <v>342</v>
      </c>
      <c r="B26" s="114"/>
      <c r="C26" s="12"/>
      <c r="D26" s="12"/>
      <c r="E26" s="12"/>
      <c r="F26" s="12"/>
    </row>
    <row r="27" spans="1:6" ht="13" x14ac:dyDescent="0.3">
      <c r="A27" s="12"/>
      <c r="B27" s="114"/>
      <c r="C27" s="12"/>
      <c r="D27" s="12"/>
      <c r="E27" s="12"/>
      <c r="F27" s="12"/>
    </row>
    <row r="28" spans="1:6" ht="15.5" x14ac:dyDescent="0.35">
      <c r="A28" s="16" t="s">
        <v>339</v>
      </c>
      <c r="B28" s="114"/>
      <c r="C28" s="12"/>
      <c r="D28" s="12"/>
      <c r="E28" s="12"/>
      <c r="F28" s="12"/>
    </row>
    <row r="29" spans="1:6" ht="13" x14ac:dyDescent="0.3">
      <c r="A29" s="12" t="s">
        <v>330</v>
      </c>
      <c r="B29" s="114">
        <f>'Steak Pie v2'!N54</f>
        <v>5.3284460841463046</v>
      </c>
      <c r="C29" s="12"/>
      <c r="D29" s="12">
        <v>3</v>
      </c>
      <c r="E29" s="12"/>
      <c r="F29" s="12"/>
    </row>
    <row r="30" spans="1:6" ht="13" x14ac:dyDescent="0.3">
      <c r="A30" s="12" t="s">
        <v>331</v>
      </c>
      <c r="B30" s="114">
        <f>'Steak &amp; Ale Pie'!N40</f>
        <v>5.3580407744117915</v>
      </c>
      <c r="C30" s="12"/>
      <c r="D30" s="12">
        <v>3</v>
      </c>
      <c r="E30" s="12"/>
      <c r="F30" s="12"/>
    </row>
    <row r="31" spans="1:6" ht="13" x14ac:dyDescent="0.3">
      <c r="A31" s="12" t="s">
        <v>332</v>
      </c>
      <c r="B31" s="114">
        <f>'Steak &amp; Kidney Pie'!N37</f>
        <v>5.0774503425799988</v>
      </c>
      <c r="C31" s="12"/>
      <c r="D31" s="12">
        <v>3</v>
      </c>
      <c r="E31" s="12"/>
      <c r="F31" s="12"/>
    </row>
    <row r="32" spans="1:6" ht="13" x14ac:dyDescent="0.3">
      <c r="A32" s="12" t="s">
        <v>334</v>
      </c>
      <c r="B32" s="114">
        <f>'Steak &amp; Stilton Pie'!I65</f>
        <v>0</v>
      </c>
      <c r="C32" s="12"/>
      <c r="D32" s="12">
        <v>3</v>
      </c>
      <c r="E32" s="12"/>
      <c r="F32" s="12"/>
    </row>
    <row r="33" spans="1:6" ht="13" x14ac:dyDescent="0.3">
      <c r="A33" s="12" t="s">
        <v>336</v>
      </c>
      <c r="B33" s="114">
        <f>'C&amp;H Pie'!I62</f>
        <v>0</v>
      </c>
      <c r="C33" s="12"/>
      <c r="D33" s="12">
        <v>3</v>
      </c>
      <c r="E33" s="12"/>
      <c r="F33" s="12"/>
    </row>
    <row r="34" spans="1:6" ht="13" x14ac:dyDescent="0.3">
      <c r="A34" s="12" t="s">
        <v>337</v>
      </c>
      <c r="B34" s="114">
        <f>'C&amp;C Pie'!I74</f>
        <v>0</v>
      </c>
      <c r="C34" s="12"/>
      <c r="D34" s="12">
        <v>3</v>
      </c>
      <c r="E34" s="12"/>
      <c r="F34" s="12"/>
    </row>
    <row r="35" spans="1:6" ht="13" x14ac:dyDescent="0.3">
      <c r="A35" s="12" t="s">
        <v>335</v>
      </c>
      <c r="B35" s="114">
        <f>'C&amp;S Pie'!I64</f>
        <v>0</v>
      </c>
      <c r="C35" s="12"/>
      <c r="D35" s="12">
        <v>3</v>
      </c>
      <c r="E35" s="12"/>
      <c r="F35" s="12"/>
    </row>
    <row r="36" spans="1:6" ht="13" x14ac:dyDescent="0.3">
      <c r="A36" s="12" t="s">
        <v>193</v>
      </c>
      <c r="B36" s="114">
        <f>'Pulled Pork Pie'!I62</f>
        <v>0</v>
      </c>
      <c r="C36" s="12"/>
      <c r="D36" s="12">
        <v>3</v>
      </c>
      <c r="E36" s="12"/>
      <c r="F36" s="12"/>
    </row>
    <row r="37" spans="1:6" ht="14.5" x14ac:dyDescent="0.35">
      <c r="A37" s="110" t="s">
        <v>342</v>
      </c>
      <c r="B37" s="114">
        <f>'Ham Hock Pie'!I64</f>
        <v>0</v>
      </c>
      <c r="C37" s="12"/>
      <c r="D37" s="12"/>
      <c r="E37" s="12"/>
      <c r="F37" s="12"/>
    </row>
    <row r="38" spans="1:6" ht="13" x14ac:dyDescent="0.3">
      <c r="A38" s="12"/>
      <c r="B38" s="114"/>
      <c r="C38" s="12"/>
      <c r="D38" s="12"/>
      <c r="E38" s="12"/>
      <c r="F38" s="12"/>
    </row>
    <row r="39" spans="1:6" ht="15.5" x14ac:dyDescent="0.35">
      <c r="A39" s="16" t="s">
        <v>343</v>
      </c>
      <c r="B39" s="114"/>
      <c r="C39" s="12"/>
      <c r="D39" s="12"/>
      <c r="E39" s="12"/>
      <c r="F39" s="12"/>
    </row>
    <row r="40" spans="1:6" ht="13" x14ac:dyDescent="0.3">
      <c r="A40" s="12" t="s">
        <v>38</v>
      </c>
      <c r="B40" s="114"/>
      <c r="C40" s="12"/>
      <c r="D40" s="12">
        <v>6</v>
      </c>
      <c r="E40" s="12"/>
      <c r="F40" s="12"/>
    </row>
    <row r="41" spans="1:6" ht="13" x14ac:dyDescent="0.3">
      <c r="A41" s="12" t="s">
        <v>32</v>
      </c>
      <c r="B41" s="114"/>
      <c r="C41" s="12"/>
      <c r="D41" s="12">
        <v>3</v>
      </c>
      <c r="E41" s="12"/>
      <c r="F41" s="12"/>
    </row>
    <row r="42" spans="1:6" ht="13" x14ac:dyDescent="0.3">
      <c r="A42" s="12" t="s">
        <v>42</v>
      </c>
      <c r="B42" s="114"/>
      <c r="C42" s="12"/>
      <c r="D42" s="12">
        <v>1</v>
      </c>
      <c r="E42" s="12"/>
      <c r="F42" s="12"/>
    </row>
    <row r="43" spans="1:6" ht="13" x14ac:dyDescent="0.3">
      <c r="A43" s="12" t="s">
        <v>166</v>
      </c>
      <c r="B43" s="114"/>
      <c r="C43" s="12"/>
      <c r="D43" s="12">
        <v>1</v>
      </c>
      <c r="E43" s="12"/>
      <c r="F43" s="12"/>
    </row>
    <row r="44" spans="1:6" ht="13" x14ac:dyDescent="0.3">
      <c r="A44" s="12" t="s">
        <v>344</v>
      </c>
      <c r="B44" s="114"/>
      <c r="C44" s="12"/>
      <c r="D44" s="12">
        <v>1</v>
      </c>
      <c r="E44" s="12"/>
      <c r="F44" s="12"/>
    </row>
    <row r="45" spans="1:6" ht="13" x14ac:dyDescent="0.3">
      <c r="A45" s="12" t="s">
        <v>345</v>
      </c>
      <c r="B45" s="114"/>
      <c r="C45" s="12"/>
      <c r="D45" s="12">
        <v>0.5</v>
      </c>
      <c r="E45" s="12"/>
      <c r="F45" s="12"/>
    </row>
    <row r="46" spans="1:6" ht="13" x14ac:dyDescent="0.3">
      <c r="A46" s="12" t="s">
        <v>346</v>
      </c>
      <c r="B46" s="114"/>
      <c r="C46" s="12"/>
      <c r="D46" s="12">
        <v>1</v>
      </c>
      <c r="E46" s="12"/>
      <c r="F46" s="12"/>
    </row>
    <row r="47" spans="1:6" ht="13" x14ac:dyDescent="0.3">
      <c r="A47" s="12" t="s">
        <v>347</v>
      </c>
      <c r="B47" s="114"/>
      <c r="C47" s="12"/>
      <c r="D47" s="12">
        <v>1</v>
      </c>
      <c r="E47" s="12"/>
      <c r="F47" s="12"/>
    </row>
    <row r="48" spans="1:6" ht="13" x14ac:dyDescent="0.3">
      <c r="A48" s="12" t="s">
        <v>254</v>
      </c>
      <c r="B48" s="114"/>
      <c r="C48" s="12"/>
      <c r="D48" s="12">
        <v>1</v>
      </c>
      <c r="E48" s="12"/>
      <c r="F48" s="12"/>
    </row>
    <row r="49" spans="1:6" ht="14.5" x14ac:dyDescent="0.35">
      <c r="A49" s="110" t="s">
        <v>342</v>
      </c>
      <c r="B49" s="114"/>
      <c r="C49" s="12"/>
      <c r="D49" s="12"/>
      <c r="E49" s="12"/>
      <c r="F49" s="12"/>
    </row>
    <row r="50" spans="1:6" ht="13" x14ac:dyDescent="0.3">
      <c r="A50" s="12"/>
      <c r="B50" s="114"/>
      <c r="C50" s="12"/>
      <c r="D50" s="12"/>
      <c r="E50" s="12"/>
      <c r="F50" s="12"/>
    </row>
    <row r="51" spans="1:6" ht="15.5" x14ac:dyDescent="0.35">
      <c r="A51" s="16" t="s">
        <v>348</v>
      </c>
      <c r="B51" s="114"/>
      <c r="C51" s="12"/>
      <c r="D51" s="12"/>
      <c r="E51" s="12"/>
      <c r="F51" s="12"/>
    </row>
    <row r="52" spans="1:6" ht="13" x14ac:dyDescent="0.3">
      <c r="A52" s="12" t="s">
        <v>350</v>
      </c>
      <c r="B52" s="114"/>
      <c r="C52" s="12"/>
      <c r="D52" s="12">
        <v>0.125</v>
      </c>
      <c r="E52" s="12"/>
      <c r="F52" s="12"/>
    </row>
    <row r="53" spans="1:6" ht="13" x14ac:dyDescent="0.3">
      <c r="A53" s="12" t="s">
        <v>349</v>
      </c>
      <c r="B53" s="114"/>
      <c r="C53" s="12"/>
      <c r="D53" s="12">
        <v>0.1</v>
      </c>
      <c r="E53" s="12"/>
      <c r="F53" s="12"/>
    </row>
    <row r="54" spans="1:6" ht="13" x14ac:dyDescent="0.3">
      <c r="A54" s="12" t="s">
        <v>351</v>
      </c>
      <c r="B54" s="114"/>
      <c r="C54" s="12"/>
      <c r="D54" s="12">
        <v>0.1</v>
      </c>
      <c r="E54" s="12"/>
      <c r="F54" s="12"/>
    </row>
    <row r="55" spans="1:6" ht="26" x14ac:dyDescent="0.3">
      <c r="A55" s="113" t="s">
        <v>352</v>
      </c>
      <c r="B55" s="114"/>
      <c r="C55" s="12"/>
      <c r="D55" s="12">
        <v>0.125</v>
      </c>
      <c r="E55" s="12"/>
      <c r="F55" s="12"/>
    </row>
    <row r="56" spans="1:6" ht="26" x14ac:dyDescent="0.3">
      <c r="A56" s="113" t="s">
        <v>353</v>
      </c>
      <c r="B56" s="114"/>
      <c r="C56" s="12"/>
      <c r="D56" s="12">
        <v>0.1</v>
      </c>
      <c r="E56" s="12"/>
      <c r="F56" s="12"/>
    </row>
    <row r="57" spans="1:6" ht="13" x14ac:dyDescent="0.3">
      <c r="A57" s="12" t="s">
        <v>354</v>
      </c>
      <c r="B57" s="114"/>
      <c r="C57" s="12"/>
      <c r="D57" s="12">
        <v>0.05</v>
      </c>
      <c r="E57" s="12"/>
      <c r="F57" s="12"/>
    </row>
    <row r="58" spans="1:6" ht="13" x14ac:dyDescent="0.3">
      <c r="A58" s="12" t="s">
        <v>290</v>
      </c>
      <c r="B58" s="114"/>
      <c r="C58" s="12"/>
      <c r="D58" s="12">
        <v>1</v>
      </c>
      <c r="E58" s="12"/>
      <c r="F58" s="12"/>
    </row>
    <row r="59" spans="1:6" ht="13" x14ac:dyDescent="0.3">
      <c r="A59" s="12" t="s">
        <v>355</v>
      </c>
      <c r="B59" s="114"/>
      <c r="C59" s="12"/>
      <c r="D59" s="12">
        <v>1</v>
      </c>
      <c r="E59" s="12"/>
      <c r="F59" s="12"/>
    </row>
    <row r="60" spans="1:6" ht="13" x14ac:dyDescent="0.3">
      <c r="A60" s="12" t="s">
        <v>356</v>
      </c>
      <c r="B60" s="114"/>
      <c r="C60" s="12"/>
      <c r="D60" s="12">
        <v>1</v>
      </c>
      <c r="E60" s="12"/>
      <c r="F60" s="12"/>
    </row>
    <row r="61" spans="1:6" ht="14.5" x14ac:dyDescent="0.35">
      <c r="A61" s="110" t="s">
        <v>342</v>
      </c>
      <c r="B61" s="114"/>
      <c r="C61" s="12"/>
      <c r="D61" s="12"/>
      <c r="E61" s="12"/>
      <c r="F61" s="12"/>
    </row>
    <row r="62" spans="1:6" ht="13" x14ac:dyDescent="0.3">
      <c r="A62" s="12"/>
      <c r="B62" s="114"/>
      <c r="C62" s="12"/>
      <c r="D62" s="12"/>
      <c r="E62" s="12"/>
      <c r="F62" s="12"/>
    </row>
    <row r="63" spans="1:6" ht="15.5" x14ac:dyDescent="0.35">
      <c r="A63" s="16" t="s">
        <v>357</v>
      </c>
      <c r="B63" s="114"/>
      <c r="C63" s="12"/>
      <c r="D63" s="12"/>
      <c r="E63" s="12"/>
      <c r="F63" s="12"/>
    </row>
    <row r="64" spans="1:6" ht="13" x14ac:dyDescent="0.3">
      <c r="A64" s="12" t="s">
        <v>358</v>
      </c>
      <c r="B64" s="114"/>
      <c r="C64" s="12"/>
      <c r="D64" s="12">
        <v>20</v>
      </c>
      <c r="E64" s="12"/>
      <c r="F64" s="12"/>
    </row>
    <row r="65" spans="1:6" ht="13" x14ac:dyDescent="0.3">
      <c r="A65" s="12" t="s">
        <v>359</v>
      </c>
      <c r="B65" s="114"/>
      <c r="C65" s="12"/>
      <c r="D65" s="12">
        <v>0.5</v>
      </c>
      <c r="E65" s="12"/>
      <c r="F65" s="12"/>
    </row>
    <row r="66" spans="1:6" ht="13" x14ac:dyDescent="0.3">
      <c r="A66" s="12" t="s">
        <v>261</v>
      </c>
      <c r="B66" s="114"/>
      <c r="C66" s="12"/>
      <c r="D66" s="12">
        <v>1</v>
      </c>
      <c r="E66" s="12"/>
      <c r="F66" s="12"/>
    </row>
    <row r="67" spans="1:6" ht="13" x14ac:dyDescent="0.3">
      <c r="A67" s="12" t="s">
        <v>262</v>
      </c>
      <c r="B67" s="114"/>
      <c r="C67" s="12"/>
      <c r="D67" s="12">
        <v>2</v>
      </c>
      <c r="E67" s="12"/>
      <c r="F67" s="12"/>
    </row>
    <row r="68" spans="1:6" ht="13" x14ac:dyDescent="0.3">
      <c r="A68" s="12" t="s">
        <v>360</v>
      </c>
      <c r="B68" s="114"/>
      <c r="C68" s="12"/>
      <c r="D68" s="12">
        <v>0.1</v>
      </c>
      <c r="E68" s="12"/>
      <c r="F68" s="12"/>
    </row>
    <row r="69" spans="1:6" ht="13" x14ac:dyDescent="0.3">
      <c r="A69" s="12" t="s">
        <v>361</v>
      </c>
      <c r="B69" s="114"/>
      <c r="C69" s="12"/>
      <c r="D69" s="12">
        <v>1.5</v>
      </c>
      <c r="E69" s="12"/>
      <c r="F69" s="12"/>
    </row>
    <row r="70" spans="1:6" ht="13" x14ac:dyDescent="0.3">
      <c r="A70" s="12" t="s">
        <v>362</v>
      </c>
      <c r="B70" s="114"/>
      <c r="C70" s="12"/>
      <c r="D70" s="12">
        <v>1.5</v>
      </c>
      <c r="E70" s="12"/>
      <c r="F70" s="12"/>
    </row>
    <row r="71" spans="1:6" ht="13" x14ac:dyDescent="0.3">
      <c r="A71" s="12" t="s">
        <v>363</v>
      </c>
      <c r="B71" s="114"/>
      <c r="C71" s="12"/>
      <c r="D71" s="12">
        <v>0.1</v>
      </c>
      <c r="E71" s="12"/>
      <c r="F71" s="12"/>
    </row>
    <row r="72" spans="1:6" ht="13" x14ac:dyDescent="0.3">
      <c r="A72" s="12" t="s">
        <v>365</v>
      </c>
      <c r="B72" s="114"/>
      <c r="C72" s="12"/>
      <c r="D72" s="12">
        <v>2</v>
      </c>
      <c r="E72" s="12"/>
      <c r="F72" s="12"/>
    </row>
    <row r="73" spans="1:6" ht="13" x14ac:dyDescent="0.3">
      <c r="A73" s="12" t="s">
        <v>364</v>
      </c>
      <c r="B73" s="114"/>
      <c r="C73" s="12"/>
      <c r="D73" s="12">
        <v>2</v>
      </c>
      <c r="E73" s="12"/>
      <c r="F73" s="12"/>
    </row>
    <row r="74" spans="1:6" ht="13" x14ac:dyDescent="0.3">
      <c r="A74" s="12" t="s">
        <v>369</v>
      </c>
      <c r="B74" s="114"/>
      <c r="C74" s="12"/>
      <c r="D74" s="12">
        <v>20</v>
      </c>
      <c r="E74" s="12"/>
      <c r="F74" s="12"/>
    </row>
    <row r="75" spans="1:6" ht="13" x14ac:dyDescent="0.3">
      <c r="A75" s="12" t="s">
        <v>296</v>
      </c>
      <c r="B75" s="114"/>
      <c r="C75" s="12"/>
      <c r="D75" s="12">
        <v>2</v>
      </c>
      <c r="E75" s="12"/>
      <c r="F75" s="12"/>
    </row>
    <row r="76" spans="1:6" ht="13" x14ac:dyDescent="0.3">
      <c r="A76" s="12" t="s">
        <v>251</v>
      </c>
      <c r="B76" s="114"/>
      <c r="C76" s="12"/>
      <c r="D76" s="12">
        <v>0</v>
      </c>
      <c r="E76" s="12"/>
      <c r="F76" s="12"/>
    </row>
    <row r="77" spans="1:6" ht="13" x14ac:dyDescent="0.3">
      <c r="A77" s="12" t="s">
        <v>64</v>
      </c>
      <c r="B77" s="114"/>
      <c r="C77" s="12"/>
      <c r="D77" s="12">
        <v>1</v>
      </c>
      <c r="E77" s="12"/>
      <c r="F77" s="12"/>
    </row>
    <row r="78" spans="1:6" ht="13" x14ac:dyDescent="0.3">
      <c r="A78" s="12" t="s">
        <v>161</v>
      </c>
      <c r="B78" s="114"/>
      <c r="C78" s="12"/>
      <c r="D78" s="12">
        <v>5</v>
      </c>
      <c r="E78" s="12"/>
      <c r="F78" s="12"/>
    </row>
    <row r="79" spans="1:6" ht="13" x14ac:dyDescent="0.3">
      <c r="A79" s="12" t="s">
        <v>366</v>
      </c>
      <c r="B79" s="114"/>
      <c r="C79" s="12"/>
      <c r="D79" s="12">
        <v>1</v>
      </c>
      <c r="E79" s="12"/>
      <c r="F79" s="12"/>
    </row>
    <row r="80" spans="1:6" ht="13" x14ac:dyDescent="0.3">
      <c r="A80" s="12" t="s">
        <v>256</v>
      </c>
      <c r="B80" s="114"/>
      <c r="C80" s="12"/>
      <c r="D80" s="12">
        <v>0.25</v>
      </c>
      <c r="E80" s="12"/>
      <c r="F80" s="12"/>
    </row>
    <row r="81" spans="1:6" ht="14.5" x14ac:dyDescent="0.35">
      <c r="A81" s="110" t="s">
        <v>342</v>
      </c>
      <c r="B81" s="114"/>
      <c r="C81" s="12"/>
      <c r="D81" s="12"/>
      <c r="E81" s="12"/>
      <c r="F81" s="12"/>
    </row>
    <row r="82" spans="1:6" ht="13" x14ac:dyDescent="0.3">
      <c r="A82" s="12"/>
      <c r="B82" s="114"/>
      <c r="C82" s="12"/>
      <c r="D82" s="12"/>
      <c r="E82" s="12"/>
      <c r="F82" s="12"/>
    </row>
    <row r="83" spans="1:6" ht="14.5" x14ac:dyDescent="0.35">
      <c r="A83" s="110" t="s">
        <v>367</v>
      </c>
      <c r="B83" s="114"/>
      <c r="C83" s="12"/>
      <c r="D83" s="12"/>
      <c r="E83" s="12"/>
      <c r="F83" s="12"/>
    </row>
    <row r="84" spans="1:6" ht="13" x14ac:dyDescent="0.3">
      <c r="A84" s="12" t="s">
        <v>43</v>
      </c>
      <c r="B84" s="114"/>
      <c r="C84" s="12"/>
      <c r="D84" s="12">
        <v>0.5</v>
      </c>
      <c r="E84" s="12"/>
      <c r="F84" s="12"/>
    </row>
    <row r="85" spans="1:6" ht="13" x14ac:dyDescent="0.3">
      <c r="A85" s="12" t="s">
        <v>42</v>
      </c>
      <c r="B85" s="114"/>
      <c r="C85" s="12"/>
      <c r="D85" s="12">
        <v>0.5</v>
      </c>
      <c r="E85" s="12"/>
      <c r="F85" s="12"/>
    </row>
    <row r="86" spans="1:6" ht="13" x14ac:dyDescent="0.3">
      <c r="A86" s="12" t="s">
        <v>166</v>
      </c>
      <c r="B86" s="114"/>
      <c r="C86" s="12"/>
      <c r="D86" s="12">
        <v>0.5</v>
      </c>
      <c r="E86" s="12"/>
      <c r="F86" s="12"/>
    </row>
    <row r="87" spans="1:6" ht="14.5" x14ac:dyDescent="0.35">
      <c r="A87" s="110" t="s">
        <v>342</v>
      </c>
      <c r="B87" s="114"/>
      <c r="C87" s="12"/>
      <c r="D87" s="12"/>
      <c r="E87" s="12"/>
      <c r="F87" s="12"/>
    </row>
    <row r="88" spans="1:6" ht="13" x14ac:dyDescent="0.3">
      <c r="A88" s="13"/>
      <c r="B88" s="115"/>
    </row>
    <row r="89" spans="1:6" ht="13" x14ac:dyDescent="0.3">
      <c r="A89" s="13"/>
      <c r="B89" s="115"/>
    </row>
    <row r="90" spans="1:6" ht="13" x14ac:dyDescent="0.3">
      <c r="A90" s="13"/>
      <c r="B90" s="115"/>
    </row>
    <row r="91" spans="1:6" ht="13" x14ac:dyDescent="0.3">
      <c r="A91" s="13"/>
      <c r="B91" s="115"/>
    </row>
    <row r="92" spans="1:6" ht="13" x14ac:dyDescent="0.3">
      <c r="A92" s="13"/>
      <c r="B92" s="115"/>
    </row>
    <row r="93" spans="1:6" ht="13" x14ac:dyDescent="0.3">
      <c r="A93" s="13"/>
      <c r="B93" s="115"/>
    </row>
    <row r="94" spans="1:6" ht="13" x14ac:dyDescent="0.3">
      <c r="A94" s="13"/>
      <c r="B94" s="115"/>
    </row>
    <row r="95" spans="1:6" ht="13" x14ac:dyDescent="0.3">
      <c r="A95" s="13"/>
      <c r="B95" s="115"/>
    </row>
    <row r="96" spans="1:6" ht="13" x14ac:dyDescent="0.3">
      <c r="A96" s="13"/>
      <c r="B96" s="115"/>
    </row>
    <row r="97" spans="1:2" ht="13" x14ac:dyDescent="0.3">
      <c r="A97" s="13"/>
      <c r="B97" s="115"/>
    </row>
    <row r="98" spans="1:2" ht="13" x14ac:dyDescent="0.3">
      <c r="A98" s="13"/>
      <c r="B98" s="115"/>
    </row>
    <row r="99" spans="1:2" ht="13" x14ac:dyDescent="0.3">
      <c r="A99" s="13"/>
      <c r="B99" s="115"/>
    </row>
    <row r="100" spans="1:2" ht="13" x14ac:dyDescent="0.3">
      <c r="A100" s="13"/>
      <c r="B100" s="115"/>
    </row>
    <row r="101" spans="1:2" ht="13" x14ac:dyDescent="0.3">
      <c r="A101" s="13"/>
      <c r="B101" s="115"/>
    </row>
    <row r="102" spans="1:2" ht="13" x14ac:dyDescent="0.3">
      <c r="A102" s="13"/>
      <c r="B102" s="115"/>
    </row>
    <row r="103" spans="1:2" ht="13" x14ac:dyDescent="0.3">
      <c r="A103" s="13"/>
      <c r="B103" s="115"/>
    </row>
    <row r="104" spans="1:2" ht="13" x14ac:dyDescent="0.3">
      <c r="A104" s="13"/>
      <c r="B104" s="115"/>
    </row>
    <row r="105" spans="1:2" ht="13" x14ac:dyDescent="0.3">
      <c r="A105" s="13"/>
      <c r="B105" s="115"/>
    </row>
    <row r="106" spans="1:2" ht="13" x14ac:dyDescent="0.3">
      <c r="A106" s="13"/>
      <c r="B106" s="115"/>
    </row>
    <row r="107" spans="1:2" ht="13" x14ac:dyDescent="0.3">
      <c r="A107" s="13"/>
      <c r="B107" s="115"/>
    </row>
    <row r="108" spans="1:2" ht="13" x14ac:dyDescent="0.3">
      <c r="A108" s="13"/>
      <c r="B108" s="115"/>
    </row>
    <row r="109" spans="1:2" ht="13" x14ac:dyDescent="0.3">
      <c r="A109" s="13"/>
      <c r="B109" s="115"/>
    </row>
    <row r="110" spans="1:2" ht="13" x14ac:dyDescent="0.3">
      <c r="A110" s="13"/>
      <c r="B110" s="115"/>
    </row>
    <row r="111" spans="1:2" ht="13" x14ac:dyDescent="0.3">
      <c r="A111" s="13"/>
      <c r="B111" s="115"/>
    </row>
    <row r="112" spans="1:2" ht="13" x14ac:dyDescent="0.3">
      <c r="A112" s="13"/>
      <c r="B112" s="115"/>
    </row>
    <row r="113" spans="1:2" ht="13" x14ac:dyDescent="0.3">
      <c r="A113" s="13"/>
      <c r="B113" s="115"/>
    </row>
    <row r="114" spans="1:2" ht="13" x14ac:dyDescent="0.3">
      <c r="A114" s="13"/>
      <c r="B114" s="115"/>
    </row>
    <row r="115" spans="1:2" ht="13" x14ac:dyDescent="0.3">
      <c r="A115" s="13"/>
      <c r="B115" s="115"/>
    </row>
    <row r="116" spans="1:2" ht="13" x14ac:dyDescent="0.3">
      <c r="A116" s="13"/>
      <c r="B116" s="115"/>
    </row>
    <row r="117" spans="1:2" ht="13" x14ac:dyDescent="0.3">
      <c r="A117" s="13"/>
      <c r="B117" s="115"/>
    </row>
    <row r="118" spans="1:2" ht="13" x14ac:dyDescent="0.3">
      <c r="A118" s="13"/>
      <c r="B118" s="115"/>
    </row>
    <row r="119" spans="1:2" ht="13" x14ac:dyDescent="0.3">
      <c r="A119" s="13"/>
      <c r="B119" s="115"/>
    </row>
    <row r="120" spans="1:2" ht="13" x14ac:dyDescent="0.3">
      <c r="A120" s="13"/>
      <c r="B120" s="115"/>
    </row>
    <row r="121" spans="1:2" ht="13" x14ac:dyDescent="0.3">
      <c r="A121" s="13"/>
      <c r="B121" s="115"/>
    </row>
    <row r="122" spans="1:2" ht="13" x14ac:dyDescent="0.3">
      <c r="A122" s="13"/>
      <c r="B122" s="115"/>
    </row>
    <row r="123" spans="1:2" ht="13" x14ac:dyDescent="0.3">
      <c r="A123" s="13"/>
    </row>
    <row r="124" spans="1:2" ht="13" x14ac:dyDescent="0.3">
      <c r="A124" s="13"/>
    </row>
    <row r="125" spans="1:2" ht="13" x14ac:dyDescent="0.3">
      <c r="A125" s="13"/>
    </row>
    <row r="126" spans="1:2" ht="13" x14ac:dyDescent="0.3">
      <c r="A126" s="13"/>
    </row>
    <row r="127" spans="1:2" ht="13" x14ac:dyDescent="0.3">
      <c r="A127" s="13"/>
    </row>
    <row r="128" spans="1:2" ht="13" x14ac:dyDescent="0.3">
      <c r="A128" s="13"/>
    </row>
    <row r="129" spans="1:1" ht="13" x14ac:dyDescent="0.3">
      <c r="A129" s="13"/>
    </row>
    <row r="130" spans="1:1" ht="13" x14ac:dyDescent="0.3">
      <c r="A130" s="13"/>
    </row>
    <row r="131" spans="1:1" ht="13" x14ac:dyDescent="0.3">
      <c r="A131" s="13"/>
    </row>
    <row r="132" spans="1:1" ht="13" x14ac:dyDescent="0.3">
      <c r="A132" s="13"/>
    </row>
    <row r="133" spans="1:1" ht="13" x14ac:dyDescent="0.3">
      <c r="A133" s="13"/>
    </row>
    <row r="134" spans="1:1" ht="13" x14ac:dyDescent="0.3">
      <c r="A134" s="13"/>
    </row>
    <row r="135" spans="1:1" ht="13" x14ac:dyDescent="0.3">
      <c r="A135" s="13"/>
    </row>
    <row r="136" spans="1:1" ht="13" x14ac:dyDescent="0.3">
      <c r="A136" s="13"/>
    </row>
    <row r="137" spans="1:1" ht="13" x14ac:dyDescent="0.3">
      <c r="A137" s="13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"/>
  <sheetViews>
    <sheetView topLeftCell="A75" workbookViewId="0">
      <selection activeCell="C72" sqref="C72"/>
    </sheetView>
  </sheetViews>
  <sheetFormatPr defaultRowHeight="12.5" x14ac:dyDescent="0.25"/>
  <cols>
    <col min="1" max="1" width="22.81640625" customWidth="1"/>
    <col min="2" max="2" width="13.453125" customWidth="1"/>
    <col min="3" max="3" width="15" customWidth="1"/>
    <col min="4" max="4" width="17.1796875" customWidth="1"/>
    <col min="5" max="5" width="13.1796875" customWidth="1"/>
    <col min="6" max="6" width="20.54296875" customWidth="1"/>
    <col min="7" max="7" width="11.1796875" customWidth="1"/>
    <col min="8" max="8" width="9.81640625" customWidth="1"/>
    <col min="9" max="9" width="10.54296875" customWidth="1"/>
    <col min="13" max="13" width="18.1796875" customWidth="1"/>
    <col min="14" max="14" width="10.1796875" customWidth="1"/>
  </cols>
  <sheetData>
    <row r="1" spans="1:14" ht="33.5" x14ac:dyDescent="0.25">
      <c r="A1" s="237" t="s">
        <v>12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4" ht="33" x14ac:dyDescent="0.55000000000000004">
      <c r="A2" s="52" t="s">
        <v>29</v>
      </c>
      <c r="B2" s="31"/>
      <c r="C2" s="1"/>
      <c r="D2" s="2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3.5" x14ac:dyDescent="0.55000000000000004">
      <c r="A3" s="34"/>
      <c r="B3" s="35"/>
      <c r="C3" s="36"/>
      <c r="D3" s="37"/>
      <c r="E3" s="33"/>
      <c r="F3" s="34"/>
      <c r="G3" s="35"/>
      <c r="H3" s="36" t="s">
        <v>180</v>
      </c>
      <c r="I3" s="37"/>
      <c r="J3" s="151">
        <v>20</v>
      </c>
      <c r="K3" s="33" t="s">
        <v>388</v>
      </c>
      <c r="L3" s="33"/>
      <c r="M3" s="33"/>
      <c r="N3" s="33"/>
    </row>
    <row r="4" spans="1:14" ht="21" x14ac:dyDescent="0.5">
      <c r="A4" s="238" t="s">
        <v>17</v>
      </c>
      <c r="B4" s="238"/>
      <c r="C4" s="238"/>
      <c r="D4" s="43" t="s">
        <v>0</v>
      </c>
      <c r="E4" s="16" t="s">
        <v>21</v>
      </c>
      <c r="F4" s="38"/>
      <c r="G4" s="38"/>
      <c r="H4" s="5"/>
      <c r="I4" s="4"/>
      <c r="J4" s="33"/>
      <c r="K4" s="33"/>
      <c r="L4" s="33"/>
      <c r="M4" s="33"/>
      <c r="N4" s="33"/>
    </row>
    <row r="5" spans="1:14" ht="17.25" customHeight="1" x14ac:dyDescent="0.5">
      <c r="A5" s="234" t="s">
        <v>18</v>
      </c>
      <c r="B5" s="235"/>
      <c r="C5" s="236"/>
      <c r="D5" s="42"/>
      <c r="E5" s="32"/>
      <c r="F5" s="38"/>
      <c r="G5" s="38"/>
      <c r="H5" s="3"/>
      <c r="I5" s="4"/>
      <c r="J5" s="33"/>
      <c r="K5" s="33"/>
      <c r="L5" s="33"/>
      <c r="M5" s="33"/>
      <c r="N5" s="33"/>
    </row>
    <row r="6" spans="1:14" ht="15.75" customHeight="1" x14ac:dyDescent="0.5">
      <c r="A6" s="231" t="s">
        <v>418</v>
      </c>
      <c r="B6" s="232"/>
      <c r="C6" s="233"/>
      <c r="D6" s="119">
        <v>2.06</v>
      </c>
      <c r="E6" s="32" t="s">
        <v>22</v>
      </c>
      <c r="F6" s="38"/>
      <c r="G6" s="39"/>
      <c r="H6" s="5"/>
      <c r="I6" s="4"/>
      <c r="J6" s="33"/>
      <c r="K6" s="33"/>
      <c r="L6" s="33"/>
      <c r="M6" s="33"/>
      <c r="N6" s="33"/>
    </row>
    <row r="7" spans="1:14" ht="15.5" x14ac:dyDescent="0.35">
      <c r="A7" s="44" t="s">
        <v>14</v>
      </c>
      <c r="B7" s="45"/>
      <c r="C7" s="46"/>
      <c r="D7" s="119">
        <v>0.62</v>
      </c>
      <c r="E7" s="32" t="s">
        <v>22</v>
      </c>
      <c r="F7" s="5"/>
      <c r="G7" s="5"/>
      <c r="H7" s="5"/>
      <c r="I7" s="4"/>
      <c r="J7" s="33"/>
      <c r="K7" s="33"/>
      <c r="L7" s="33"/>
      <c r="M7" s="33"/>
      <c r="N7" s="33"/>
    </row>
    <row r="8" spans="1:14" ht="15.5" x14ac:dyDescent="0.35">
      <c r="A8" s="44" t="s">
        <v>15</v>
      </c>
      <c r="B8" s="45"/>
      <c r="C8" s="46"/>
      <c r="D8" s="119">
        <v>0.54</v>
      </c>
      <c r="E8" s="32" t="s">
        <v>22</v>
      </c>
      <c r="F8" s="5"/>
      <c r="G8" s="5"/>
      <c r="H8" s="4"/>
      <c r="I8" s="4"/>
      <c r="J8" s="33"/>
      <c r="K8" s="33"/>
      <c r="L8" s="33"/>
      <c r="M8" s="33"/>
      <c r="N8" s="33"/>
    </row>
    <row r="9" spans="1:14" ht="15.5" x14ac:dyDescent="0.35">
      <c r="A9" s="231" t="s">
        <v>16</v>
      </c>
      <c r="B9" s="232"/>
      <c r="C9" s="233"/>
      <c r="D9" s="119">
        <v>1.94</v>
      </c>
      <c r="E9" s="32" t="s">
        <v>22</v>
      </c>
      <c r="F9" s="5"/>
      <c r="G9" s="13"/>
      <c r="H9" s="15"/>
      <c r="I9" s="15"/>
      <c r="J9" s="33"/>
      <c r="K9" s="33"/>
      <c r="L9" s="33"/>
      <c r="M9" s="13"/>
      <c r="N9" s="15"/>
    </row>
    <row r="10" spans="1:14" ht="15.5" x14ac:dyDescent="0.35">
      <c r="A10" s="44" t="s">
        <v>60</v>
      </c>
      <c r="B10" s="45"/>
      <c r="C10" s="46"/>
      <c r="D10" s="119">
        <v>11</v>
      </c>
      <c r="E10" s="32" t="s">
        <v>22</v>
      </c>
      <c r="F10" s="5"/>
      <c r="G10" s="13"/>
      <c r="H10" s="15"/>
      <c r="I10" s="15"/>
      <c r="J10" s="33"/>
      <c r="K10" s="33"/>
      <c r="L10" s="33"/>
      <c r="M10" s="13"/>
      <c r="N10" s="15"/>
    </row>
    <row r="11" spans="1:14" ht="15.5" x14ac:dyDescent="0.35">
      <c r="A11" s="44" t="s">
        <v>61</v>
      </c>
      <c r="B11" s="45"/>
      <c r="C11" s="46"/>
      <c r="D11" s="119">
        <v>0.02</v>
      </c>
      <c r="E11" s="32" t="s">
        <v>450</v>
      </c>
      <c r="F11" s="5"/>
      <c r="G11" s="13" t="s">
        <v>102</v>
      </c>
      <c r="H11" s="15">
        <v>2.93</v>
      </c>
      <c r="I11" s="15">
        <v>0.11</v>
      </c>
      <c r="J11" s="33"/>
      <c r="K11" s="33"/>
      <c r="L11" s="33"/>
      <c r="M11" s="13"/>
      <c r="N11" s="15"/>
    </row>
    <row r="12" spans="1:14" ht="15.5" x14ac:dyDescent="0.35">
      <c r="A12" s="44" t="s">
        <v>168</v>
      </c>
      <c r="B12" s="45"/>
      <c r="C12" s="46"/>
      <c r="D12" s="119">
        <v>0.74</v>
      </c>
      <c r="E12" s="32" t="s">
        <v>105</v>
      </c>
      <c r="F12" s="5"/>
      <c r="G12" s="13" t="s">
        <v>103</v>
      </c>
      <c r="H12" s="15">
        <v>1.48</v>
      </c>
      <c r="I12" s="15"/>
      <c r="J12" s="33"/>
      <c r="K12" s="33"/>
      <c r="L12" s="33"/>
      <c r="M12" s="13"/>
      <c r="N12" s="15"/>
    </row>
    <row r="13" spans="1:14" ht="15.5" x14ac:dyDescent="0.35">
      <c r="A13" s="44"/>
      <c r="B13" s="45"/>
      <c r="C13" s="46"/>
      <c r="D13" s="77"/>
      <c r="E13" s="32"/>
      <c r="F13" s="5"/>
      <c r="G13" s="13"/>
      <c r="H13" s="15">
        <v>4.41</v>
      </c>
      <c r="I13" s="15"/>
      <c r="J13" s="33"/>
      <c r="K13" s="33"/>
      <c r="L13" s="33"/>
      <c r="M13" s="13"/>
      <c r="N13" s="15"/>
    </row>
    <row r="14" spans="1:14" ht="15.5" x14ac:dyDescent="0.35">
      <c r="A14" s="71" t="s">
        <v>58</v>
      </c>
      <c r="B14" s="45"/>
      <c r="C14" s="46"/>
      <c r="D14" s="77"/>
      <c r="E14" s="32"/>
      <c r="F14" s="5"/>
      <c r="G14" s="13"/>
      <c r="H14" s="15"/>
      <c r="I14" s="15"/>
      <c r="J14" s="33"/>
      <c r="K14" s="33"/>
      <c r="L14" s="33"/>
      <c r="M14" s="13"/>
      <c r="N14" s="15"/>
    </row>
    <row r="15" spans="1:14" ht="15.5" x14ac:dyDescent="0.35">
      <c r="A15" s="44" t="s">
        <v>104</v>
      </c>
      <c r="B15" s="45"/>
      <c r="C15" s="46"/>
      <c r="D15" s="119">
        <v>1.29</v>
      </c>
      <c r="E15" s="32" t="s">
        <v>105</v>
      </c>
      <c r="F15" s="5"/>
      <c r="G15" s="13"/>
      <c r="H15" s="15"/>
      <c r="I15" s="15"/>
      <c r="J15" s="33"/>
      <c r="K15" s="33"/>
      <c r="L15" s="33"/>
      <c r="M15" s="13"/>
      <c r="N15" s="15"/>
    </row>
    <row r="16" spans="1:14" ht="15.5" x14ac:dyDescent="0.35">
      <c r="A16" s="44" t="s">
        <v>408</v>
      </c>
      <c r="B16" s="45"/>
      <c r="C16" s="46"/>
      <c r="D16" s="119">
        <v>0.27</v>
      </c>
      <c r="E16" s="32" t="s">
        <v>57</v>
      </c>
      <c r="F16" s="5"/>
      <c r="G16" s="13"/>
      <c r="H16" s="15"/>
      <c r="I16" s="15"/>
      <c r="J16" s="33"/>
      <c r="K16" s="33"/>
      <c r="L16" s="33"/>
      <c r="M16" s="13"/>
      <c r="N16" s="15"/>
    </row>
    <row r="17" spans="1:14" ht="15.5" x14ac:dyDescent="0.35">
      <c r="A17" s="44" t="s">
        <v>59</v>
      </c>
      <c r="B17" s="45"/>
      <c r="C17" s="46"/>
      <c r="D17" s="119">
        <v>1.26</v>
      </c>
      <c r="E17" s="32" t="s">
        <v>22</v>
      </c>
      <c r="F17" s="5"/>
      <c r="G17" s="13"/>
      <c r="H17" s="15"/>
      <c r="I17" s="15"/>
      <c r="J17" s="33"/>
      <c r="K17" s="33"/>
      <c r="L17" s="33"/>
      <c r="M17" s="13"/>
      <c r="N17" s="15"/>
    </row>
    <row r="18" spans="1:14" ht="15.5" x14ac:dyDescent="0.35">
      <c r="A18" s="44" t="s">
        <v>62</v>
      </c>
      <c r="B18" s="45"/>
      <c r="C18" s="46"/>
      <c r="D18" s="119">
        <v>4.75</v>
      </c>
      <c r="E18" s="32" t="s">
        <v>22</v>
      </c>
      <c r="F18" s="5"/>
      <c r="G18" s="13"/>
      <c r="H18" s="15"/>
      <c r="I18" s="15"/>
      <c r="J18" s="33"/>
      <c r="K18" s="33"/>
      <c r="L18" s="33"/>
      <c r="M18" s="13"/>
      <c r="N18" s="15"/>
    </row>
    <row r="19" spans="1:14" ht="15.5" x14ac:dyDescent="0.35">
      <c r="A19" s="44" t="s">
        <v>90</v>
      </c>
      <c r="B19" s="45"/>
      <c r="C19" s="46"/>
      <c r="D19" s="119">
        <v>25.2</v>
      </c>
      <c r="E19" s="32" t="s">
        <v>22</v>
      </c>
      <c r="F19" s="5"/>
      <c r="G19" s="13"/>
      <c r="H19" s="15"/>
      <c r="I19" s="15"/>
      <c r="J19" s="33"/>
      <c r="K19" s="33"/>
      <c r="L19" s="33"/>
      <c r="M19" s="13"/>
      <c r="N19" s="15"/>
    </row>
    <row r="20" spans="1:14" ht="15.5" x14ac:dyDescent="0.35">
      <c r="A20" s="44" t="s">
        <v>68</v>
      </c>
      <c r="B20" s="45"/>
      <c r="C20" s="46"/>
      <c r="D20" s="119">
        <v>8.9499999999999993</v>
      </c>
      <c r="E20" s="32" t="s">
        <v>22</v>
      </c>
      <c r="F20" s="5"/>
      <c r="G20" s="13"/>
      <c r="H20" s="15"/>
      <c r="I20" s="15"/>
      <c r="J20" s="33"/>
      <c r="K20" s="33"/>
      <c r="L20" s="33"/>
      <c r="M20" s="13"/>
      <c r="N20" s="15"/>
    </row>
    <row r="21" spans="1:14" ht="15.5" x14ac:dyDescent="0.35">
      <c r="A21" s="44" t="s">
        <v>69</v>
      </c>
      <c r="B21" s="45"/>
      <c r="C21" s="46"/>
      <c r="D21" s="119">
        <v>8.9</v>
      </c>
      <c r="E21" s="32" t="s">
        <v>22</v>
      </c>
      <c r="F21" s="5" t="s">
        <v>377</v>
      </c>
      <c r="G21" s="13"/>
      <c r="H21" s="15"/>
      <c r="I21" s="15"/>
      <c r="J21" s="33"/>
      <c r="K21" s="33"/>
      <c r="L21" s="33"/>
      <c r="M21" s="13"/>
      <c r="N21" s="15"/>
    </row>
    <row r="22" spans="1:14" ht="15.5" x14ac:dyDescent="0.35">
      <c r="A22" s="44" t="s">
        <v>82</v>
      </c>
      <c r="B22" s="45"/>
      <c r="C22" s="46"/>
      <c r="D22" s="123">
        <v>13</v>
      </c>
      <c r="E22" s="32" t="s">
        <v>22</v>
      </c>
      <c r="F22" s="5"/>
      <c r="G22" s="13"/>
      <c r="H22" s="15"/>
      <c r="I22" s="15"/>
      <c r="J22" s="33"/>
      <c r="K22" s="33"/>
      <c r="L22" s="33"/>
      <c r="M22" s="13"/>
      <c r="N22" s="15"/>
    </row>
    <row r="23" spans="1:14" ht="15.5" x14ac:dyDescent="0.35">
      <c r="A23" s="44" t="s">
        <v>80</v>
      </c>
      <c r="B23" s="45"/>
      <c r="C23" s="46"/>
      <c r="D23" s="119">
        <v>9.3699999999999992</v>
      </c>
      <c r="E23" s="32" t="s">
        <v>22</v>
      </c>
      <c r="F23" s="5"/>
      <c r="G23" s="13"/>
      <c r="H23" s="15"/>
      <c r="I23" s="15"/>
      <c r="J23" s="33"/>
      <c r="K23" s="33"/>
      <c r="L23" s="33"/>
      <c r="M23" s="13"/>
      <c r="N23" s="15"/>
    </row>
    <row r="24" spans="1:14" ht="15.5" x14ac:dyDescent="0.35">
      <c r="A24" s="44" t="s">
        <v>81</v>
      </c>
      <c r="B24" s="45"/>
      <c r="C24" s="46"/>
      <c r="D24" s="119">
        <v>7.65</v>
      </c>
      <c r="E24" s="32" t="s">
        <v>22</v>
      </c>
      <c r="F24" s="5"/>
      <c r="G24" s="13"/>
      <c r="H24" s="15"/>
      <c r="I24" s="15"/>
      <c r="J24" s="33"/>
      <c r="K24" s="33"/>
      <c r="L24" s="33"/>
      <c r="M24" s="13"/>
      <c r="N24" s="15"/>
    </row>
    <row r="25" spans="1:14" ht="15.5" x14ac:dyDescent="0.35">
      <c r="A25" s="44" t="s">
        <v>71</v>
      </c>
      <c r="B25" s="45"/>
      <c r="C25" s="46"/>
      <c r="D25" s="123">
        <v>36.9</v>
      </c>
      <c r="E25" s="32" t="s">
        <v>22</v>
      </c>
      <c r="F25" s="5"/>
      <c r="G25" s="13"/>
      <c r="H25" s="15"/>
      <c r="I25" s="15"/>
      <c r="J25" s="33"/>
      <c r="K25" s="33"/>
      <c r="L25" s="33"/>
      <c r="M25" s="13"/>
      <c r="N25" s="15"/>
    </row>
    <row r="26" spans="1:14" ht="15.5" x14ac:dyDescent="0.35">
      <c r="A26" s="44" t="s">
        <v>125</v>
      </c>
      <c r="B26" s="45"/>
      <c r="C26" s="46"/>
      <c r="D26" s="123">
        <v>0.83</v>
      </c>
      <c r="E26" s="32" t="s">
        <v>22</v>
      </c>
      <c r="F26" s="5"/>
      <c r="G26" s="13"/>
      <c r="H26" s="15"/>
      <c r="I26" s="15"/>
      <c r="J26" s="33"/>
      <c r="K26" s="33"/>
      <c r="L26" s="33"/>
      <c r="M26" s="13"/>
      <c r="N26" s="15"/>
    </row>
    <row r="27" spans="1:14" ht="15.5" x14ac:dyDescent="0.35">
      <c r="A27" s="44" t="s">
        <v>75</v>
      </c>
      <c r="B27" s="45"/>
      <c r="C27" s="46"/>
      <c r="D27" s="119">
        <v>1.18</v>
      </c>
      <c r="E27" s="32" t="s">
        <v>22</v>
      </c>
      <c r="F27" s="5">
        <v>18</v>
      </c>
      <c r="G27" s="13" t="s">
        <v>137</v>
      </c>
      <c r="H27" s="15"/>
      <c r="I27" s="15"/>
      <c r="J27" s="33"/>
      <c r="K27" s="33"/>
      <c r="L27" s="33"/>
      <c r="M27" s="13"/>
      <c r="N27" s="15"/>
    </row>
    <row r="28" spans="1:14" ht="15.5" x14ac:dyDescent="0.35">
      <c r="A28" s="44" t="s">
        <v>78</v>
      </c>
      <c r="B28" s="45"/>
      <c r="C28" s="46"/>
      <c r="D28" s="119">
        <v>1.1499999999999999</v>
      </c>
      <c r="E28" s="32" t="s">
        <v>22</v>
      </c>
      <c r="F28" s="5"/>
      <c r="G28" s="13"/>
      <c r="H28" s="15"/>
      <c r="I28" s="15"/>
      <c r="J28" s="33"/>
      <c r="K28" s="33"/>
      <c r="L28" s="33"/>
      <c r="M28" s="13"/>
      <c r="N28" s="15"/>
    </row>
    <row r="29" spans="1:14" ht="15.5" x14ac:dyDescent="0.35">
      <c r="A29" s="44" t="s">
        <v>79</v>
      </c>
      <c r="B29" s="45"/>
      <c r="C29" s="46"/>
      <c r="D29" s="119">
        <v>1.38</v>
      </c>
      <c r="E29" s="32" t="s">
        <v>22</v>
      </c>
      <c r="F29" s="5"/>
      <c r="G29" s="13"/>
      <c r="H29" s="15"/>
      <c r="I29" s="15"/>
      <c r="J29" s="33"/>
      <c r="K29" s="33"/>
      <c r="L29" s="33"/>
      <c r="M29" s="13"/>
      <c r="N29" s="15"/>
    </row>
    <row r="30" spans="1:14" ht="15.5" x14ac:dyDescent="0.35">
      <c r="A30" s="44" t="s">
        <v>100</v>
      </c>
      <c r="B30" s="45"/>
      <c r="C30" s="46"/>
      <c r="D30" s="119">
        <v>1.02</v>
      </c>
      <c r="E30" s="32" t="s">
        <v>22</v>
      </c>
      <c r="F30" s="5"/>
      <c r="G30" s="13"/>
      <c r="H30" s="15"/>
      <c r="I30" s="15"/>
      <c r="J30" s="33"/>
      <c r="K30" s="33"/>
      <c r="L30" s="33"/>
      <c r="M30" s="13"/>
      <c r="N30" s="15"/>
    </row>
    <row r="31" spans="1:14" ht="15.5" x14ac:dyDescent="0.35">
      <c r="A31" s="44"/>
      <c r="B31" s="45"/>
      <c r="C31" s="46"/>
      <c r="D31" s="77"/>
      <c r="E31" s="32"/>
      <c r="F31" s="5"/>
      <c r="G31" s="13"/>
      <c r="H31" s="15"/>
      <c r="I31" s="15"/>
      <c r="J31" s="33"/>
      <c r="K31" s="33"/>
      <c r="L31" s="33"/>
      <c r="M31" s="13"/>
      <c r="N31" s="15"/>
    </row>
    <row r="32" spans="1:14" ht="15.5" x14ac:dyDescent="0.35">
      <c r="A32" s="44" t="s">
        <v>85</v>
      </c>
      <c r="B32" s="45"/>
      <c r="C32" s="46"/>
      <c r="D32" s="119">
        <v>13.5</v>
      </c>
      <c r="E32" s="32" t="s">
        <v>22</v>
      </c>
      <c r="F32" s="5"/>
      <c r="G32" s="13"/>
      <c r="H32" s="15"/>
      <c r="I32" s="15"/>
      <c r="J32" s="33"/>
      <c r="K32" s="33"/>
      <c r="L32" s="33"/>
      <c r="M32" s="13"/>
      <c r="N32" s="15"/>
    </row>
    <row r="33" spans="1:14" ht="15.5" x14ac:dyDescent="0.35">
      <c r="A33" s="44" t="s">
        <v>101</v>
      </c>
      <c r="B33" s="45"/>
      <c r="C33" s="46"/>
      <c r="D33" s="119"/>
      <c r="E33" s="32" t="s">
        <v>22</v>
      </c>
      <c r="F33" s="5"/>
      <c r="G33" s="13"/>
      <c r="H33" s="15"/>
      <c r="I33" s="15"/>
      <c r="J33" s="33"/>
      <c r="K33" s="33"/>
      <c r="L33" s="33"/>
      <c r="M33" s="13"/>
      <c r="N33" s="15"/>
    </row>
    <row r="34" spans="1:14" ht="15.5" x14ac:dyDescent="0.35">
      <c r="A34" s="44" t="s">
        <v>86</v>
      </c>
      <c r="B34" s="45"/>
      <c r="C34" s="46"/>
      <c r="D34" s="123">
        <v>5.27</v>
      </c>
      <c r="E34" s="32" t="s">
        <v>22</v>
      </c>
      <c r="F34" s="5"/>
      <c r="G34" s="13"/>
      <c r="H34" s="15"/>
      <c r="I34" s="15"/>
      <c r="J34" s="33"/>
      <c r="K34" s="33"/>
      <c r="L34" s="33"/>
      <c r="M34" s="13"/>
      <c r="N34" s="15"/>
    </row>
    <row r="35" spans="1:14" ht="15.5" x14ac:dyDescent="0.35">
      <c r="A35" s="120" t="s">
        <v>87</v>
      </c>
      <c r="B35" s="45"/>
      <c r="C35" s="46"/>
      <c r="D35" s="119">
        <v>9.4</v>
      </c>
      <c r="E35" s="32" t="s">
        <v>22</v>
      </c>
      <c r="F35" s="5"/>
      <c r="G35" s="13"/>
      <c r="H35" s="15"/>
      <c r="I35" s="15"/>
      <c r="J35" s="33"/>
      <c r="K35" s="33"/>
      <c r="L35" s="33"/>
      <c r="M35" s="13"/>
      <c r="N35" s="15"/>
    </row>
    <row r="36" spans="1:14" ht="15.5" x14ac:dyDescent="0.35">
      <c r="A36" s="44" t="s">
        <v>91</v>
      </c>
      <c r="B36" s="45"/>
      <c r="C36" s="46"/>
      <c r="D36" s="119">
        <v>7.01</v>
      </c>
      <c r="E36" s="32" t="s">
        <v>22</v>
      </c>
      <c r="F36" s="5"/>
      <c r="G36" s="13"/>
      <c r="H36" s="15"/>
      <c r="I36" s="15"/>
      <c r="J36" s="33"/>
      <c r="K36" s="33"/>
      <c r="L36" s="33"/>
      <c r="M36" s="13"/>
      <c r="N36" s="15"/>
    </row>
    <row r="37" spans="1:14" ht="15.5" x14ac:dyDescent="0.35">
      <c r="A37" s="44" t="s">
        <v>419</v>
      </c>
      <c r="B37" s="45"/>
      <c r="C37" s="46"/>
      <c r="D37" s="119">
        <v>7.43</v>
      </c>
      <c r="E37" s="32"/>
      <c r="F37" s="5"/>
      <c r="G37" s="13"/>
      <c r="H37" s="15"/>
      <c r="I37" s="15"/>
      <c r="J37" s="33"/>
      <c r="K37" s="33"/>
      <c r="L37" s="33"/>
      <c r="M37" s="13"/>
      <c r="N37" s="15"/>
    </row>
    <row r="38" spans="1:14" ht="15.5" x14ac:dyDescent="0.35">
      <c r="A38" s="44" t="s">
        <v>92</v>
      </c>
      <c r="B38" s="45"/>
      <c r="C38" s="46"/>
      <c r="D38" s="123">
        <v>4.08</v>
      </c>
      <c r="E38" s="32" t="s">
        <v>22</v>
      </c>
      <c r="F38" s="5"/>
      <c r="G38" s="13"/>
      <c r="H38" s="15"/>
      <c r="I38" s="15"/>
      <c r="J38" s="33"/>
      <c r="K38" s="33"/>
      <c r="L38" s="33"/>
      <c r="M38" s="13"/>
      <c r="N38" s="15"/>
    </row>
    <row r="39" spans="1:14" ht="15.5" x14ac:dyDescent="0.35">
      <c r="A39" s="44" t="s">
        <v>129</v>
      </c>
      <c r="B39" s="45"/>
      <c r="C39" s="46"/>
      <c r="D39" s="119">
        <v>17.11</v>
      </c>
      <c r="E39" s="32" t="s">
        <v>130</v>
      </c>
      <c r="F39" s="5"/>
      <c r="G39" s="13"/>
      <c r="H39" s="15"/>
      <c r="I39" s="15"/>
      <c r="J39" s="33"/>
      <c r="K39" s="33"/>
      <c r="L39" s="33"/>
      <c r="M39" s="13"/>
      <c r="N39" s="15"/>
    </row>
    <row r="40" spans="1:14" ht="15.5" x14ac:dyDescent="0.35">
      <c r="A40" s="44" t="s">
        <v>204</v>
      </c>
      <c r="B40" s="45"/>
      <c r="C40" s="46"/>
      <c r="D40" s="123"/>
      <c r="E40" s="32"/>
      <c r="F40" s="5"/>
      <c r="G40" s="13"/>
      <c r="H40" s="15"/>
      <c r="I40" s="15"/>
      <c r="J40" s="33"/>
      <c r="K40" s="33"/>
      <c r="L40" s="33"/>
      <c r="M40" s="13"/>
      <c r="N40" s="15"/>
    </row>
    <row r="41" spans="1:14" ht="15.5" x14ac:dyDescent="0.35">
      <c r="A41" s="44" t="s">
        <v>279</v>
      </c>
      <c r="B41" s="45"/>
      <c r="C41" s="46"/>
      <c r="D41" s="123">
        <v>0.66</v>
      </c>
      <c r="E41" s="32"/>
      <c r="F41" s="5"/>
      <c r="G41" s="13"/>
      <c r="H41" s="15"/>
      <c r="I41" s="15"/>
      <c r="J41" s="33"/>
      <c r="K41" s="33"/>
      <c r="L41" s="33"/>
      <c r="M41" s="13"/>
      <c r="N41" s="15"/>
    </row>
    <row r="42" spans="1:14" ht="15.5" x14ac:dyDescent="0.35">
      <c r="A42" s="44" t="s">
        <v>380</v>
      </c>
      <c r="B42" s="45"/>
      <c r="C42" s="46"/>
      <c r="D42" s="123">
        <v>0.17</v>
      </c>
      <c r="E42" s="32" t="s">
        <v>407</v>
      </c>
      <c r="F42" s="5" t="s">
        <v>420</v>
      </c>
      <c r="G42" s="13"/>
      <c r="H42" s="15"/>
      <c r="I42" s="15"/>
      <c r="J42" s="33"/>
      <c r="K42" s="33"/>
      <c r="L42" s="33"/>
      <c r="M42" s="13"/>
      <c r="N42" s="15"/>
    </row>
    <row r="43" spans="1:14" ht="15.5" x14ac:dyDescent="0.35">
      <c r="A43" s="44" t="s">
        <v>284</v>
      </c>
      <c r="B43" s="45"/>
      <c r="C43" s="46"/>
      <c r="D43" s="123">
        <v>0.31</v>
      </c>
      <c r="E43" s="32" t="s">
        <v>22</v>
      </c>
      <c r="F43" s="5"/>
      <c r="G43" s="13"/>
      <c r="H43" s="15"/>
      <c r="I43" s="15"/>
      <c r="J43" s="33"/>
      <c r="K43" s="33"/>
      <c r="L43" s="33"/>
      <c r="M43" s="13"/>
      <c r="N43" s="15"/>
    </row>
    <row r="44" spans="1:14" ht="15.5" x14ac:dyDescent="0.35">
      <c r="A44" s="44" t="s">
        <v>397</v>
      </c>
      <c r="B44" s="45"/>
      <c r="C44" s="46"/>
      <c r="D44" s="123">
        <v>1.79</v>
      </c>
      <c r="E44" s="32" t="s">
        <v>22</v>
      </c>
      <c r="F44" s="5"/>
      <c r="G44" s="13"/>
      <c r="H44" s="15"/>
      <c r="I44" s="15"/>
      <c r="J44" s="33"/>
      <c r="K44" s="33"/>
      <c r="L44" s="33"/>
      <c r="M44" s="13"/>
      <c r="N44" s="15"/>
    </row>
    <row r="45" spans="1:14" ht="15.5" x14ac:dyDescent="0.35">
      <c r="A45" s="231"/>
      <c r="B45" s="232"/>
      <c r="C45" s="233"/>
      <c r="D45" s="77"/>
      <c r="E45" s="32"/>
      <c r="F45" s="5"/>
      <c r="G45" s="13"/>
      <c r="H45" s="15"/>
      <c r="I45" s="15"/>
      <c r="J45" s="33"/>
      <c r="K45" s="33"/>
      <c r="L45" s="33"/>
      <c r="M45" s="13"/>
      <c r="N45" s="15"/>
    </row>
    <row r="46" spans="1:14" ht="15.5" x14ac:dyDescent="0.35">
      <c r="A46" s="234" t="s">
        <v>19</v>
      </c>
      <c r="B46" s="235"/>
      <c r="C46" s="236"/>
      <c r="D46" s="77"/>
      <c r="E46" s="32"/>
      <c r="F46" s="5"/>
      <c r="G46" s="13"/>
      <c r="H46" s="15"/>
      <c r="I46" s="15"/>
      <c r="J46" s="33"/>
      <c r="K46" s="33"/>
      <c r="L46" s="33"/>
      <c r="M46" s="13"/>
      <c r="N46" s="15"/>
    </row>
    <row r="47" spans="1:14" ht="15.5" x14ac:dyDescent="0.35">
      <c r="A47" s="231" t="s">
        <v>517</v>
      </c>
      <c r="B47" s="232"/>
      <c r="C47" s="233"/>
      <c r="D47" s="119">
        <v>21.25</v>
      </c>
      <c r="E47" s="32" t="s">
        <v>518</v>
      </c>
      <c r="F47" s="5"/>
      <c r="G47" s="13"/>
      <c r="H47" s="15"/>
      <c r="I47" s="15"/>
      <c r="J47" s="33"/>
      <c r="K47" s="33"/>
      <c r="L47" s="33"/>
      <c r="M47" s="13"/>
      <c r="N47" s="15"/>
    </row>
    <row r="48" spans="1:14" ht="15.5" x14ac:dyDescent="0.35">
      <c r="A48" s="44" t="s">
        <v>519</v>
      </c>
      <c r="B48" s="45"/>
      <c r="C48" s="46"/>
      <c r="D48" s="119">
        <v>52.5</v>
      </c>
      <c r="E48" s="32" t="s">
        <v>520</v>
      </c>
      <c r="F48" s="5"/>
      <c r="G48" s="13"/>
      <c r="H48" s="15"/>
      <c r="I48" s="15"/>
      <c r="J48" s="33"/>
      <c r="K48" s="33"/>
      <c r="L48" s="33"/>
      <c r="M48" s="13"/>
      <c r="N48" s="15"/>
    </row>
    <row r="49" spans="1:14" ht="15.5" x14ac:dyDescent="0.35">
      <c r="A49" s="44" t="s">
        <v>521</v>
      </c>
      <c r="B49" s="45"/>
      <c r="C49" s="46"/>
      <c r="D49" s="119">
        <v>52.5</v>
      </c>
      <c r="E49" s="32" t="s">
        <v>522</v>
      </c>
      <c r="F49" s="5"/>
      <c r="G49" s="13"/>
      <c r="H49" s="15"/>
      <c r="I49" s="15"/>
      <c r="J49" s="33"/>
      <c r="K49" s="33"/>
      <c r="L49" s="33"/>
      <c r="M49" s="13"/>
      <c r="N49" s="15"/>
    </row>
    <row r="50" spans="1:14" ht="15.5" x14ac:dyDescent="0.35">
      <c r="A50" s="44" t="s">
        <v>76</v>
      </c>
      <c r="B50" s="45"/>
      <c r="C50" s="46"/>
      <c r="D50" s="119">
        <v>56.25</v>
      </c>
      <c r="E50" s="32" t="s">
        <v>499</v>
      </c>
      <c r="F50" s="5" t="s">
        <v>500</v>
      </c>
      <c r="G50" s="13" t="s">
        <v>501</v>
      </c>
      <c r="H50" s="5"/>
      <c r="I50" s="5"/>
      <c r="J50" s="13"/>
      <c r="K50" s="33"/>
      <c r="L50" s="33"/>
      <c r="M50" s="13"/>
      <c r="N50" s="15"/>
    </row>
    <row r="51" spans="1:14" ht="15.5" x14ac:dyDescent="0.35">
      <c r="A51" s="44" t="s">
        <v>77</v>
      </c>
      <c r="B51" s="45"/>
      <c r="C51" s="46"/>
      <c r="D51" s="119">
        <v>58.45</v>
      </c>
      <c r="E51" s="32" t="s">
        <v>499</v>
      </c>
      <c r="F51" s="5" t="s">
        <v>500</v>
      </c>
      <c r="G51" s="13" t="s">
        <v>498</v>
      </c>
      <c r="H51" s="15"/>
      <c r="I51" s="15"/>
      <c r="J51" s="33"/>
      <c r="K51" s="33"/>
      <c r="L51" s="33"/>
      <c r="M51" s="13"/>
      <c r="N51" s="15"/>
    </row>
    <row r="52" spans="1:14" ht="15.5" x14ac:dyDescent="0.35">
      <c r="A52" s="44" t="s">
        <v>504</v>
      </c>
      <c r="B52" s="45"/>
      <c r="C52" s="46"/>
      <c r="D52" s="119">
        <v>2</v>
      </c>
      <c r="E52" s="32" t="s">
        <v>505</v>
      </c>
      <c r="F52" s="5"/>
      <c r="G52" s="13"/>
      <c r="H52" s="15"/>
      <c r="I52" s="15" t="s">
        <v>523</v>
      </c>
      <c r="J52" s="33"/>
      <c r="K52" s="33"/>
      <c r="L52" s="33"/>
      <c r="M52" s="13"/>
      <c r="N52" s="15"/>
    </row>
    <row r="53" spans="1:14" ht="15.5" x14ac:dyDescent="0.35">
      <c r="A53" s="44" t="s">
        <v>516</v>
      </c>
      <c r="B53" s="45"/>
      <c r="C53" s="46"/>
      <c r="D53" s="119">
        <v>1.25</v>
      </c>
      <c r="E53" s="32" t="s">
        <v>505</v>
      </c>
      <c r="F53" s="5"/>
      <c r="G53" s="13"/>
      <c r="H53" s="15"/>
      <c r="I53" s="15"/>
      <c r="J53" s="33"/>
      <c r="K53" s="33"/>
      <c r="L53" s="33"/>
      <c r="M53" s="13"/>
      <c r="N53" s="15"/>
    </row>
    <row r="54" spans="1:14" ht="15.5" x14ac:dyDescent="0.35">
      <c r="A54" s="44" t="s">
        <v>502</v>
      </c>
      <c r="B54" s="45"/>
      <c r="C54" s="46"/>
      <c r="D54" s="119">
        <v>0.34</v>
      </c>
      <c r="E54" s="32" t="s">
        <v>57</v>
      </c>
      <c r="F54" s="5"/>
      <c r="G54" s="13"/>
      <c r="H54" s="15"/>
      <c r="I54" s="15"/>
      <c r="J54" s="33"/>
      <c r="K54" s="33"/>
      <c r="L54" s="33"/>
      <c r="M54" s="13"/>
      <c r="N54" s="15"/>
    </row>
    <row r="55" spans="1:14" ht="15.5" x14ac:dyDescent="0.35">
      <c r="A55" s="44" t="s">
        <v>503</v>
      </c>
      <c r="B55" s="45"/>
      <c r="C55" s="46"/>
      <c r="D55" s="119">
        <v>0.34</v>
      </c>
      <c r="E55" s="32" t="s">
        <v>57</v>
      </c>
      <c r="F55" s="5"/>
      <c r="G55" s="13"/>
      <c r="H55" s="15"/>
      <c r="I55" s="15"/>
      <c r="J55" s="33"/>
      <c r="K55" s="33"/>
      <c r="L55" s="33"/>
      <c r="M55" s="13"/>
      <c r="N55" s="15"/>
    </row>
    <row r="56" spans="1:14" ht="15.5" x14ac:dyDescent="0.35">
      <c r="A56" s="44" t="s">
        <v>506</v>
      </c>
      <c r="B56" s="45" t="s">
        <v>507</v>
      </c>
      <c r="C56" s="46"/>
      <c r="D56" s="119">
        <v>61.36</v>
      </c>
      <c r="E56" s="32" t="s">
        <v>499</v>
      </c>
      <c r="F56" s="5"/>
      <c r="G56" s="13"/>
      <c r="H56" s="15"/>
      <c r="I56" s="15"/>
      <c r="J56" s="33"/>
      <c r="K56" s="33"/>
      <c r="L56" s="33"/>
      <c r="M56" s="13"/>
      <c r="N56" s="15"/>
    </row>
    <row r="57" spans="1:14" ht="15.5" x14ac:dyDescent="0.35">
      <c r="A57" s="44" t="s">
        <v>508</v>
      </c>
      <c r="B57" s="45" t="s">
        <v>509</v>
      </c>
      <c r="C57" s="46"/>
      <c r="D57" s="119">
        <v>61.36</v>
      </c>
      <c r="E57" s="32" t="s">
        <v>499</v>
      </c>
      <c r="F57" s="5"/>
      <c r="G57" s="13"/>
      <c r="H57" s="15"/>
      <c r="I57" s="15"/>
      <c r="J57" s="33"/>
      <c r="K57" s="33"/>
      <c r="L57" s="33"/>
      <c r="M57" s="13"/>
      <c r="N57" s="15"/>
    </row>
    <row r="58" spans="1:14" ht="15.5" x14ac:dyDescent="0.35">
      <c r="A58" s="44" t="s">
        <v>312</v>
      </c>
      <c r="B58" s="45"/>
      <c r="C58" s="46"/>
      <c r="D58" s="123">
        <v>6</v>
      </c>
      <c r="E58" s="32"/>
      <c r="F58" s="5"/>
      <c r="G58" s="13"/>
      <c r="H58" s="15"/>
      <c r="I58" s="15"/>
      <c r="J58" s="33"/>
      <c r="K58" s="33"/>
      <c r="L58" s="33"/>
      <c r="M58" s="13"/>
      <c r="N58" s="15"/>
    </row>
    <row r="59" spans="1:14" ht="15.5" x14ac:dyDescent="0.35">
      <c r="A59" s="231" t="s">
        <v>11</v>
      </c>
      <c r="B59" s="232"/>
      <c r="C59" s="233"/>
      <c r="D59" s="119">
        <v>8.5</v>
      </c>
      <c r="E59" s="32" t="s">
        <v>22</v>
      </c>
      <c r="F59" s="5"/>
      <c r="G59" s="13" t="s">
        <v>155</v>
      </c>
      <c r="H59" s="15"/>
      <c r="I59" s="15"/>
      <c r="J59" s="33"/>
      <c r="K59" s="33"/>
      <c r="L59" s="33"/>
      <c r="M59" s="13"/>
      <c r="N59" s="15"/>
    </row>
    <row r="60" spans="1:14" ht="15.5" x14ac:dyDescent="0.35">
      <c r="A60" s="44" t="s">
        <v>399</v>
      </c>
      <c r="B60" s="45"/>
      <c r="C60" s="46"/>
      <c r="D60" s="119">
        <v>11.71</v>
      </c>
      <c r="E60" s="32" t="s">
        <v>22</v>
      </c>
      <c r="F60" s="5"/>
      <c r="G60" s="13"/>
      <c r="H60" s="15"/>
      <c r="I60" s="15"/>
      <c r="J60" s="33"/>
      <c r="K60" s="33"/>
      <c r="L60" s="33"/>
      <c r="M60" s="13"/>
      <c r="N60" s="15"/>
    </row>
    <row r="61" spans="1:14" ht="15.5" x14ac:dyDescent="0.35">
      <c r="A61" s="44" t="s">
        <v>89</v>
      </c>
      <c r="B61" s="45"/>
      <c r="C61" s="46"/>
      <c r="D61" s="119">
        <v>4</v>
      </c>
      <c r="E61" s="32" t="s">
        <v>22</v>
      </c>
      <c r="F61" s="5"/>
      <c r="G61" s="13" t="s">
        <v>496</v>
      </c>
      <c r="H61" s="15" t="s">
        <v>497</v>
      </c>
      <c r="I61" s="15"/>
      <c r="J61" s="33"/>
      <c r="K61" s="33"/>
      <c r="L61" s="33"/>
      <c r="M61" s="13"/>
      <c r="N61" s="15"/>
    </row>
    <row r="62" spans="1:14" ht="15.5" x14ac:dyDescent="0.35">
      <c r="A62" s="231" t="s">
        <v>20</v>
      </c>
      <c r="B62" s="232"/>
      <c r="C62" s="233"/>
      <c r="D62" s="119">
        <v>7.55</v>
      </c>
      <c r="E62" s="32" t="s">
        <v>22</v>
      </c>
      <c r="F62" s="13"/>
      <c r="G62" s="13"/>
      <c r="H62" s="13"/>
      <c r="I62" s="15"/>
      <c r="J62" s="33"/>
      <c r="K62" s="33"/>
      <c r="L62" s="33"/>
      <c r="M62" s="33"/>
      <c r="N62" s="33"/>
    </row>
    <row r="63" spans="1:14" ht="15.5" x14ac:dyDescent="0.35">
      <c r="A63" s="44" t="s">
        <v>63</v>
      </c>
      <c r="B63" s="45"/>
      <c r="C63" s="46"/>
      <c r="D63" s="119">
        <v>6</v>
      </c>
      <c r="E63" s="32" t="s">
        <v>22</v>
      </c>
      <c r="F63" s="13"/>
      <c r="G63" s="13"/>
      <c r="H63" s="13"/>
      <c r="I63" s="15"/>
      <c r="J63" s="33"/>
      <c r="K63" s="33"/>
      <c r="L63" s="33"/>
      <c r="M63" s="33"/>
      <c r="N63" s="33"/>
    </row>
    <row r="64" spans="1:14" ht="15.5" x14ac:dyDescent="0.35">
      <c r="A64" s="44" t="s">
        <v>64</v>
      </c>
      <c r="B64" s="45"/>
      <c r="C64" s="46"/>
      <c r="D64" s="119">
        <v>7</v>
      </c>
      <c r="E64" s="32" t="s">
        <v>22</v>
      </c>
      <c r="F64" s="13"/>
      <c r="G64" s="13" t="s">
        <v>493</v>
      </c>
      <c r="H64" s="13"/>
      <c r="I64" s="15"/>
      <c r="J64" s="33"/>
      <c r="K64" s="33"/>
      <c r="L64" s="33"/>
      <c r="M64" s="33"/>
      <c r="N64" s="33"/>
    </row>
    <row r="65" spans="1:14" ht="15.5" x14ac:dyDescent="0.35">
      <c r="A65" s="44" t="s">
        <v>156</v>
      </c>
      <c r="B65" s="45"/>
      <c r="C65" s="46"/>
      <c r="D65" s="119">
        <v>25</v>
      </c>
      <c r="E65" s="32" t="s">
        <v>57</v>
      </c>
      <c r="F65" s="13"/>
      <c r="G65" s="13" t="s">
        <v>494</v>
      </c>
      <c r="H65" s="13"/>
      <c r="I65" s="15"/>
      <c r="J65" s="33"/>
      <c r="K65" s="33"/>
      <c r="L65" s="33"/>
      <c r="M65" s="33"/>
      <c r="N65" s="33"/>
    </row>
    <row r="66" spans="1:14" ht="15.5" x14ac:dyDescent="0.35">
      <c r="A66" s="101" t="s">
        <v>88</v>
      </c>
      <c r="B66" s="45"/>
      <c r="C66" s="46"/>
      <c r="D66" s="119">
        <v>4</v>
      </c>
      <c r="E66" s="32" t="s">
        <v>22</v>
      </c>
      <c r="F66" s="13"/>
      <c r="G66" s="13" t="s">
        <v>495</v>
      </c>
      <c r="H66" s="13"/>
      <c r="I66" s="15"/>
      <c r="J66" s="33"/>
      <c r="K66" s="33"/>
      <c r="L66" s="33"/>
      <c r="M66" s="33"/>
      <c r="N66" s="33"/>
    </row>
    <row r="67" spans="1:14" ht="15.5" x14ac:dyDescent="0.35">
      <c r="A67" s="101" t="s">
        <v>513</v>
      </c>
      <c r="B67" s="45"/>
      <c r="C67" s="46"/>
      <c r="D67" s="119">
        <v>37.5</v>
      </c>
      <c r="E67" s="32" t="s">
        <v>514</v>
      </c>
      <c r="F67" s="13"/>
      <c r="G67" s="13"/>
      <c r="H67" s="13"/>
      <c r="I67" s="15"/>
      <c r="J67" s="33"/>
      <c r="K67" s="33"/>
      <c r="L67" s="33"/>
      <c r="M67" s="33"/>
      <c r="N67" s="33"/>
    </row>
    <row r="68" spans="1:14" ht="15.5" x14ac:dyDescent="0.35">
      <c r="A68" s="44" t="s">
        <v>65</v>
      </c>
      <c r="B68" s="45"/>
      <c r="C68" s="46"/>
      <c r="D68" s="123">
        <v>3.32</v>
      </c>
      <c r="E68" s="32" t="s">
        <v>22</v>
      </c>
      <c r="F68" s="13"/>
      <c r="G68" s="13"/>
      <c r="H68" s="13"/>
      <c r="I68" s="15"/>
      <c r="J68" s="33"/>
      <c r="K68" s="33"/>
      <c r="L68" s="33"/>
      <c r="M68" s="33"/>
      <c r="N68" s="33"/>
    </row>
    <row r="69" spans="1:14" ht="15.5" x14ac:dyDescent="0.35">
      <c r="A69" s="44" t="s">
        <v>70</v>
      </c>
      <c r="B69" s="45"/>
      <c r="C69" s="46"/>
      <c r="D69" s="123"/>
      <c r="E69" s="32" t="s">
        <v>22</v>
      </c>
      <c r="F69" s="13"/>
      <c r="G69" s="13"/>
      <c r="H69" s="13"/>
      <c r="I69" s="15"/>
      <c r="J69" s="33"/>
      <c r="K69" s="33"/>
      <c r="L69" s="33"/>
      <c r="M69" s="33"/>
      <c r="N69" s="33"/>
    </row>
    <row r="70" spans="1:14" ht="15.5" x14ac:dyDescent="0.35">
      <c r="A70" s="101" t="s">
        <v>253</v>
      </c>
      <c r="B70" s="45"/>
      <c r="C70" s="46"/>
      <c r="D70" s="119">
        <v>15</v>
      </c>
      <c r="E70" s="32" t="s">
        <v>510</v>
      </c>
      <c r="F70" s="13"/>
      <c r="G70" s="13" t="s">
        <v>511</v>
      </c>
      <c r="H70" s="13"/>
      <c r="I70" s="15"/>
      <c r="J70" s="33"/>
      <c r="K70" s="33"/>
      <c r="L70" s="33"/>
      <c r="M70" s="33"/>
      <c r="N70" s="33"/>
    </row>
    <row r="71" spans="1:14" ht="15.5" x14ac:dyDescent="0.35">
      <c r="A71" s="101" t="s">
        <v>74</v>
      </c>
      <c r="B71" s="45"/>
      <c r="C71" s="46"/>
      <c r="D71" s="119">
        <v>15</v>
      </c>
      <c r="E71" s="32" t="s">
        <v>512</v>
      </c>
      <c r="F71" s="13"/>
      <c r="G71" s="13" t="s">
        <v>157</v>
      </c>
      <c r="H71" s="13"/>
      <c r="I71" s="15"/>
      <c r="J71" s="33"/>
      <c r="K71" s="33"/>
      <c r="L71" s="33"/>
      <c r="M71" s="33"/>
      <c r="N71" s="33"/>
    </row>
    <row r="72" spans="1:14" ht="15.5" x14ac:dyDescent="0.35">
      <c r="A72" s="44" t="s">
        <v>72</v>
      </c>
      <c r="B72" s="45"/>
      <c r="C72" s="46"/>
      <c r="D72" s="119">
        <v>1.7</v>
      </c>
      <c r="E72" s="32" t="s">
        <v>22</v>
      </c>
      <c r="F72" s="13"/>
      <c r="G72" s="13" t="s">
        <v>515</v>
      </c>
      <c r="H72" s="13"/>
      <c r="I72" s="15"/>
      <c r="J72" s="33"/>
      <c r="K72" s="33"/>
      <c r="L72" s="33"/>
      <c r="M72" s="33"/>
      <c r="N72" s="33"/>
    </row>
    <row r="73" spans="1:14" ht="15.5" x14ac:dyDescent="0.35">
      <c r="A73" s="101" t="s">
        <v>73</v>
      </c>
      <c r="B73" s="45"/>
      <c r="C73" s="46"/>
      <c r="D73" s="119">
        <v>10</v>
      </c>
      <c r="E73" s="32" t="s">
        <v>510</v>
      </c>
      <c r="F73" s="13"/>
      <c r="G73" s="13" t="s">
        <v>158</v>
      </c>
      <c r="H73" s="13"/>
      <c r="I73" s="15"/>
      <c r="J73" s="33"/>
      <c r="K73" s="33"/>
      <c r="L73" s="33"/>
      <c r="M73" s="33"/>
      <c r="N73" s="33"/>
    </row>
    <row r="74" spans="1:14" ht="15.5" x14ac:dyDescent="0.35">
      <c r="A74" s="44" t="s">
        <v>83</v>
      </c>
      <c r="B74" s="45"/>
      <c r="C74" s="46"/>
      <c r="D74" s="123"/>
      <c r="E74" s="32" t="s">
        <v>22</v>
      </c>
      <c r="F74" s="13"/>
      <c r="G74" s="13"/>
      <c r="H74" s="13"/>
      <c r="I74" s="15"/>
      <c r="J74" s="33"/>
      <c r="K74" s="33"/>
      <c r="L74" s="33"/>
      <c r="M74" s="33"/>
      <c r="N74" s="33"/>
    </row>
    <row r="75" spans="1:14" ht="15.5" x14ac:dyDescent="0.35">
      <c r="A75" s="44" t="s">
        <v>84</v>
      </c>
      <c r="B75" s="45"/>
      <c r="C75" s="46"/>
      <c r="D75" s="123"/>
      <c r="E75" s="32" t="s">
        <v>22</v>
      </c>
      <c r="F75" s="13"/>
      <c r="G75" s="13"/>
      <c r="H75" s="13"/>
      <c r="I75" s="15"/>
      <c r="J75" s="33"/>
      <c r="K75" s="33"/>
      <c r="L75" s="33"/>
      <c r="M75" s="33"/>
      <c r="N75" s="33"/>
    </row>
    <row r="76" spans="1:14" ht="15.5" x14ac:dyDescent="0.35">
      <c r="A76" s="79" t="s">
        <v>161</v>
      </c>
      <c r="B76" s="45"/>
      <c r="C76" s="46"/>
      <c r="D76" s="123"/>
      <c r="E76" s="32"/>
      <c r="F76" s="13"/>
      <c r="G76" s="13" t="s">
        <v>159</v>
      </c>
      <c r="H76" s="13"/>
      <c r="I76" s="15"/>
      <c r="J76" s="33"/>
      <c r="K76" s="33"/>
      <c r="L76" s="33"/>
      <c r="M76" s="33"/>
      <c r="N76" s="33"/>
    </row>
    <row r="77" spans="1:14" ht="15.5" x14ac:dyDescent="0.35">
      <c r="A77" s="231" t="s">
        <v>272</v>
      </c>
      <c r="B77" s="232"/>
      <c r="C77" s="233"/>
      <c r="D77" s="123">
        <v>4.42</v>
      </c>
      <c r="E77" s="32" t="s">
        <v>22</v>
      </c>
      <c r="F77" s="5"/>
      <c r="G77" s="13"/>
      <c r="H77" s="13"/>
      <c r="I77" s="15"/>
      <c r="J77" s="33"/>
      <c r="K77" s="33"/>
      <c r="L77" s="33"/>
      <c r="M77" s="33"/>
      <c r="N77" s="33"/>
    </row>
    <row r="78" spans="1:14" ht="15.5" x14ac:dyDescent="0.35">
      <c r="A78" s="44" t="s">
        <v>160</v>
      </c>
      <c r="B78" s="75"/>
      <c r="C78" s="76"/>
      <c r="D78" s="123">
        <v>2.25</v>
      </c>
      <c r="E78" s="32" t="s">
        <v>22</v>
      </c>
      <c r="F78" s="5"/>
      <c r="G78" s="13"/>
      <c r="H78" s="13"/>
      <c r="I78" s="15"/>
      <c r="J78" s="33"/>
      <c r="K78" s="33"/>
      <c r="L78" s="33"/>
      <c r="M78" s="33"/>
      <c r="N78" s="33"/>
    </row>
    <row r="79" spans="1:14" ht="15.5" x14ac:dyDescent="0.35">
      <c r="A79" s="231" t="s">
        <v>409</v>
      </c>
      <c r="B79" s="232"/>
      <c r="C79" s="233"/>
      <c r="D79" s="123">
        <v>17.850000000000001</v>
      </c>
      <c r="E79" s="32" t="s">
        <v>22</v>
      </c>
      <c r="F79" s="5"/>
      <c r="G79" s="40"/>
      <c r="H79" s="15" t="s">
        <v>174</v>
      </c>
      <c r="I79" s="15"/>
      <c r="J79" s="33"/>
      <c r="K79" s="33"/>
      <c r="L79" s="33"/>
      <c r="M79" s="33"/>
      <c r="N79" s="33"/>
    </row>
    <row r="80" spans="1:14" ht="15.5" x14ac:dyDescent="0.35">
      <c r="A80" s="44"/>
      <c r="B80" s="45"/>
      <c r="C80" s="46"/>
      <c r="D80" s="123"/>
      <c r="E80" s="32"/>
      <c r="F80" s="5"/>
      <c r="G80" s="40"/>
      <c r="H80" s="15"/>
      <c r="I80" s="15"/>
      <c r="J80" s="33"/>
      <c r="K80" s="33"/>
      <c r="L80" s="33"/>
      <c r="M80" s="33"/>
      <c r="N80" s="33"/>
    </row>
    <row r="81" spans="1:14" ht="15.5" x14ac:dyDescent="0.35">
      <c r="A81" s="239"/>
      <c r="B81" s="240"/>
      <c r="C81" s="241"/>
      <c r="D81" s="123"/>
      <c r="E81" s="32"/>
      <c r="F81" s="13"/>
      <c r="G81" s="13"/>
      <c r="H81" s="13"/>
      <c r="I81" s="15"/>
      <c r="J81" s="33"/>
      <c r="K81" s="33"/>
      <c r="L81" s="33"/>
      <c r="M81" s="33"/>
      <c r="N81" s="33"/>
    </row>
    <row r="82" spans="1:14" ht="15.5" x14ac:dyDescent="0.35">
      <c r="A82" s="234" t="s">
        <v>48</v>
      </c>
      <c r="B82" s="235"/>
      <c r="C82" s="236"/>
      <c r="D82" s="123"/>
      <c r="E82" s="32"/>
      <c r="F82" s="33"/>
      <c r="G82" s="33"/>
      <c r="H82" s="33"/>
      <c r="I82" s="33"/>
      <c r="J82" s="33"/>
      <c r="K82" s="33"/>
      <c r="L82" s="33"/>
      <c r="M82" s="33"/>
      <c r="N82" s="33"/>
    </row>
    <row r="83" spans="1:14" ht="15.5" x14ac:dyDescent="0.35">
      <c r="A83" s="44" t="s">
        <v>93</v>
      </c>
      <c r="B83" s="72"/>
      <c r="C83" s="73"/>
      <c r="D83" s="123">
        <v>7.0000000000000007E-2</v>
      </c>
      <c r="E83" s="32" t="s">
        <v>57</v>
      </c>
      <c r="F83" s="33"/>
      <c r="G83" s="33"/>
      <c r="H83" s="33"/>
      <c r="I83" s="33"/>
      <c r="J83" s="33"/>
      <c r="K83" s="33"/>
      <c r="L83" s="33"/>
      <c r="M83" s="33"/>
      <c r="N83" s="33"/>
    </row>
    <row r="84" spans="1:14" ht="15.5" x14ac:dyDescent="0.35">
      <c r="A84" s="44" t="s">
        <v>97</v>
      </c>
      <c r="B84" s="72"/>
      <c r="C84" s="73"/>
      <c r="D84" s="123"/>
      <c r="E84" s="32"/>
      <c r="F84" s="33"/>
      <c r="G84" s="33"/>
      <c r="H84" s="33"/>
      <c r="I84" s="33"/>
      <c r="J84" s="33"/>
      <c r="K84" s="33"/>
      <c r="L84" s="33"/>
      <c r="M84" s="33"/>
      <c r="N84" s="33"/>
    </row>
    <row r="85" spans="1:14" ht="15.5" x14ac:dyDescent="0.35">
      <c r="A85" s="44"/>
      <c r="B85" s="72"/>
      <c r="C85" s="73"/>
      <c r="D85" s="123"/>
      <c r="E85" s="32"/>
      <c r="F85" s="33"/>
      <c r="G85" s="33"/>
      <c r="H85" s="33"/>
      <c r="I85" s="33"/>
      <c r="J85" s="33"/>
      <c r="K85" s="33"/>
      <c r="L85" s="33"/>
      <c r="M85" s="33"/>
      <c r="N85" s="33"/>
    </row>
    <row r="86" spans="1:14" ht="15.5" x14ac:dyDescent="0.35">
      <c r="A86" s="44" t="s">
        <v>94</v>
      </c>
      <c r="B86" s="72"/>
      <c r="C86" s="73"/>
      <c r="D86" s="119">
        <v>0.12</v>
      </c>
      <c r="E86" s="32" t="s">
        <v>57</v>
      </c>
      <c r="F86" s="33"/>
      <c r="G86" s="33"/>
      <c r="H86" s="33"/>
      <c r="I86" s="33"/>
      <c r="J86" s="33"/>
      <c r="K86" s="33"/>
      <c r="L86" s="33"/>
      <c r="M86" s="33"/>
      <c r="N86" s="33"/>
    </row>
    <row r="87" spans="1:14" ht="15.5" x14ac:dyDescent="0.35">
      <c r="A87" s="71"/>
      <c r="B87" s="72"/>
      <c r="C87" s="73"/>
      <c r="D87" s="123"/>
      <c r="E87" s="32"/>
      <c r="F87" s="33"/>
      <c r="G87" s="33"/>
      <c r="H87" s="33"/>
      <c r="I87" s="33"/>
      <c r="J87" s="33"/>
      <c r="K87" s="33"/>
      <c r="L87" s="33"/>
      <c r="M87" s="33"/>
      <c r="N87" s="33"/>
    </row>
    <row r="88" spans="1:14" ht="15.5" x14ac:dyDescent="0.35">
      <c r="A88" s="231" t="s">
        <v>55</v>
      </c>
      <c r="B88" s="232"/>
      <c r="C88" s="233"/>
      <c r="D88" s="123">
        <v>0.09</v>
      </c>
      <c r="E88" s="32" t="s">
        <v>57</v>
      </c>
      <c r="F88" s="33"/>
      <c r="G88" s="33"/>
      <c r="H88" s="33"/>
      <c r="I88" s="33"/>
      <c r="J88" s="33"/>
      <c r="K88" s="33"/>
      <c r="L88" s="33"/>
      <c r="M88" s="33"/>
      <c r="N88" s="33"/>
    </row>
    <row r="89" spans="1:14" ht="15.5" x14ac:dyDescent="0.35">
      <c r="A89" s="44" t="s">
        <v>56</v>
      </c>
      <c r="B89" s="45"/>
      <c r="C89" s="46"/>
      <c r="D89" s="119">
        <v>0.06</v>
      </c>
      <c r="E89" s="32" t="s">
        <v>57</v>
      </c>
      <c r="F89" s="33"/>
      <c r="G89" s="33"/>
      <c r="I89" s="33"/>
      <c r="J89" s="33"/>
      <c r="K89" s="33"/>
      <c r="L89" s="33"/>
      <c r="M89" s="33"/>
      <c r="N89" s="33"/>
    </row>
    <row r="90" spans="1:14" ht="15.5" x14ac:dyDescent="0.35">
      <c r="A90" s="44" t="s">
        <v>387</v>
      </c>
      <c r="B90" s="45"/>
      <c r="C90" s="46"/>
      <c r="D90" s="119">
        <v>0.22</v>
      </c>
      <c r="E90" s="32" t="s">
        <v>57</v>
      </c>
      <c r="F90" s="33"/>
      <c r="G90" s="33"/>
      <c r="H90" s="33"/>
      <c r="I90" s="33"/>
      <c r="J90" s="33"/>
      <c r="K90" s="33"/>
      <c r="L90" s="33"/>
      <c r="M90" s="33"/>
      <c r="N90" s="33"/>
    </row>
    <row r="91" spans="1:14" ht="15.5" x14ac:dyDescent="0.35">
      <c r="A91" s="44" t="s">
        <v>98</v>
      </c>
      <c r="B91" s="45"/>
      <c r="C91" s="46"/>
      <c r="D91" s="123">
        <v>0.06</v>
      </c>
      <c r="E91" s="32" t="s">
        <v>57</v>
      </c>
      <c r="F91" s="33"/>
      <c r="G91" s="33"/>
      <c r="H91" s="33"/>
      <c r="I91" s="33"/>
      <c r="J91" s="33"/>
      <c r="K91" s="33"/>
      <c r="L91" s="33"/>
      <c r="M91" s="33"/>
      <c r="N91" s="33"/>
    </row>
    <row r="92" spans="1:14" ht="15.5" x14ac:dyDescent="0.35">
      <c r="A92" s="44" t="s">
        <v>99</v>
      </c>
      <c r="B92" s="45"/>
      <c r="C92" s="46"/>
      <c r="D92" s="123">
        <v>0.06</v>
      </c>
      <c r="E92" s="32" t="s">
        <v>57</v>
      </c>
      <c r="F92" s="33"/>
      <c r="G92" s="33"/>
      <c r="H92" s="33"/>
      <c r="I92" s="33"/>
      <c r="J92" s="33"/>
      <c r="K92" s="33"/>
      <c r="L92" s="33"/>
      <c r="M92" s="33"/>
      <c r="N92" s="33"/>
    </row>
    <row r="93" spans="1:14" ht="15.5" x14ac:dyDescent="0.35">
      <c r="A93" s="44" t="s">
        <v>153</v>
      </c>
      <c r="B93" s="45"/>
      <c r="C93" s="46"/>
      <c r="D93" s="123">
        <v>0.04</v>
      </c>
      <c r="E93" s="32" t="s">
        <v>57</v>
      </c>
      <c r="F93" s="33"/>
      <c r="G93" s="33"/>
      <c r="H93" s="33"/>
      <c r="I93" s="33"/>
      <c r="J93" s="33"/>
      <c r="K93" s="33"/>
      <c r="L93" s="33"/>
      <c r="M93" s="33"/>
      <c r="N93" s="33"/>
    </row>
    <row r="94" spans="1:14" ht="15.5" x14ac:dyDescent="0.35">
      <c r="A94" s="44"/>
      <c r="B94" s="45"/>
      <c r="C94" s="46"/>
      <c r="D94" s="123"/>
      <c r="E94" s="32"/>
      <c r="F94" s="33"/>
      <c r="G94" s="33"/>
      <c r="H94" s="33"/>
      <c r="I94" s="33"/>
      <c r="J94" s="33"/>
      <c r="K94" s="33"/>
      <c r="L94" s="33"/>
      <c r="M94" s="33"/>
      <c r="N94" s="33"/>
    </row>
    <row r="95" spans="1:14" ht="16.5" customHeight="1" x14ac:dyDescent="0.5">
      <c r="A95" s="231" t="s">
        <v>49</v>
      </c>
      <c r="B95" s="232"/>
      <c r="C95" s="233"/>
      <c r="D95" s="119">
        <v>0.09</v>
      </c>
      <c r="E95" s="32" t="s">
        <v>57</v>
      </c>
      <c r="F95" s="38"/>
      <c r="G95" s="38"/>
      <c r="H95" s="5"/>
      <c r="I95" s="4"/>
      <c r="J95" s="33"/>
      <c r="K95" s="33"/>
      <c r="L95" s="33"/>
      <c r="M95" s="33"/>
      <c r="N95" s="33"/>
    </row>
    <row r="96" spans="1:14" ht="15" customHeight="1" x14ac:dyDescent="0.5">
      <c r="A96" s="44" t="s">
        <v>50</v>
      </c>
      <c r="B96" s="45"/>
      <c r="C96" s="46"/>
      <c r="D96" s="119">
        <v>0.12</v>
      </c>
      <c r="E96" s="32" t="s">
        <v>57</v>
      </c>
      <c r="F96" s="38"/>
      <c r="G96" s="38"/>
      <c r="H96" s="5"/>
      <c r="I96" s="4"/>
      <c r="J96" s="33"/>
      <c r="K96" s="33"/>
      <c r="L96" s="33"/>
      <c r="M96" s="33"/>
      <c r="N96" s="33"/>
    </row>
    <row r="97" spans="1:14" ht="16.5" customHeight="1" x14ac:dyDescent="0.5">
      <c r="A97" s="44" t="s">
        <v>51</v>
      </c>
      <c r="B97" s="45"/>
      <c r="C97" s="46"/>
      <c r="D97" s="119">
        <v>0.2</v>
      </c>
      <c r="E97" s="32" t="s">
        <v>57</v>
      </c>
      <c r="F97" s="38"/>
      <c r="G97" s="38"/>
      <c r="H97" s="5"/>
      <c r="I97" s="4"/>
      <c r="J97" s="33"/>
      <c r="K97" s="33"/>
      <c r="L97" s="33"/>
      <c r="M97" s="33"/>
      <c r="N97" s="33"/>
    </row>
    <row r="98" spans="1:14" ht="15" customHeight="1" x14ac:dyDescent="0.5">
      <c r="A98" s="44" t="s">
        <v>52</v>
      </c>
      <c r="B98" s="45"/>
      <c r="C98" s="46"/>
      <c r="D98" s="123">
        <v>0.02</v>
      </c>
      <c r="E98" s="32" t="s">
        <v>57</v>
      </c>
      <c r="F98" s="38"/>
      <c r="G98" s="38"/>
      <c r="H98" s="5"/>
      <c r="I98" s="4"/>
      <c r="J98" s="33"/>
      <c r="K98" s="33"/>
      <c r="L98" s="33"/>
      <c r="M98" s="33"/>
      <c r="N98" s="33"/>
    </row>
    <row r="99" spans="1:14" ht="15" customHeight="1" x14ac:dyDescent="0.5">
      <c r="A99" s="44" t="s">
        <v>53</v>
      </c>
      <c r="B99" s="45"/>
      <c r="C99" s="46"/>
      <c r="D99" s="123">
        <v>7.0000000000000007E-2</v>
      </c>
      <c r="E99" s="32" t="s">
        <v>57</v>
      </c>
      <c r="F99" s="38"/>
      <c r="G99" s="38"/>
      <c r="H99" s="5"/>
      <c r="I99" s="4"/>
      <c r="J99" s="33"/>
      <c r="K99" s="33"/>
      <c r="L99" s="33"/>
      <c r="M99" s="33"/>
      <c r="N99" s="33"/>
    </row>
    <row r="100" spans="1:14" ht="15.75" customHeight="1" x14ac:dyDescent="0.5">
      <c r="A100" s="44" t="s">
        <v>54</v>
      </c>
      <c r="B100" s="45"/>
      <c r="C100" s="46"/>
      <c r="D100" s="123">
        <v>0.08</v>
      </c>
      <c r="E100" s="32" t="s">
        <v>57</v>
      </c>
      <c r="F100" s="38"/>
      <c r="G100" s="38"/>
      <c r="H100" s="5"/>
      <c r="I100" s="4"/>
      <c r="J100" s="33"/>
      <c r="K100" s="33"/>
      <c r="L100" s="33"/>
      <c r="M100" s="33"/>
      <c r="N100" s="33"/>
    </row>
    <row r="101" spans="1:14" ht="21" x14ac:dyDescent="0.5">
      <c r="A101" s="44"/>
      <c r="B101" s="45"/>
      <c r="C101" s="46"/>
      <c r="D101" s="123"/>
      <c r="E101" s="32"/>
      <c r="F101" s="38"/>
      <c r="G101" s="38"/>
      <c r="H101" s="5"/>
      <c r="I101" s="4"/>
      <c r="J101" s="33"/>
      <c r="K101" s="33"/>
      <c r="L101" s="33"/>
      <c r="M101" s="33"/>
      <c r="N101" s="33"/>
    </row>
    <row r="102" spans="1:14" ht="15.75" customHeight="1" x14ac:dyDescent="0.5">
      <c r="A102" s="44" t="s">
        <v>95</v>
      </c>
      <c r="B102" s="45"/>
      <c r="C102" s="46"/>
      <c r="D102" s="123">
        <v>0.23</v>
      </c>
      <c r="E102" s="32" t="s">
        <v>57</v>
      </c>
      <c r="F102" s="38"/>
      <c r="G102" s="38"/>
      <c r="H102" s="5"/>
      <c r="I102" s="4"/>
      <c r="J102" s="33"/>
      <c r="K102" s="33"/>
      <c r="L102" s="33"/>
      <c r="M102" s="33"/>
      <c r="N102" s="33"/>
    </row>
    <row r="103" spans="1:14" ht="18" customHeight="1" x14ac:dyDescent="0.5">
      <c r="A103" s="44" t="s">
        <v>96</v>
      </c>
      <c r="B103" s="45"/>
      <c r="C103" s="46"/>
      <c r="D103" s="123">
        <v>6.0000000000000001E-3</v>
      </c>
      <c r="E103" s="32" t="s">
        <v>57</v>
      </c>
      <c r="F103" s="38"/>
      <c r="G103" s="38"/>
      <c r="H103" s="5"/>
      <c r="I103" s="4"/>
      <c r="J103" s="33"/>
      <c r="K103" s="33"/>
      <c r="L103" s="33"/>
      <c r="M103" s="33"/>
      <c r="N103" s="33"/>
    </row>
    <row r="104" spans="1:14" ht="18" customHeight="1" x14ac:dyDescent="0.5">
      <c r="A104" s="44"/>
      <c r="B104" s="45"/>
      <c r="C104" s="46"/>
      <c r="D104" s="123"/>
      <c r="E104" s="32"/>
      <c r="F104" s="38"/>
      <c r="G104" s="38"/>
      <c r="H104" s="5"/>
      <c r="I104" s="4"/>
      <c r="J104" s="33"/>
      <c r="K104" s="33"/>
      <c r="L104" s="33"/>
      <c r="M104" s="33"/>
      <c r="N104" s="33"/>
    </row>
    <row r="105" spans="1:14" ht="18" customHeight="1" x14ac:dyDescent="0.5">
      <c r="A105" s="44" t="s">
        <v>324</v>
      </c>
      <c r="B105" s="45"/>
      <c r="C105" s="46"/>
      <c r="D105" s="123">
        <v>7.0000000000000007E-2</v>
      </c>
      <c r="E105" s="32"/>
      <c r="F105" s="38"/>
      <c r="G105" s="38"/>
      <c r="H105" s="5"/>
      <c r="I105" s="4"/>
      <c r="J105" s="33"/>
      <c r="K105" s="33"/>
      <c r="L105" s="33"/>
      <c r="M105" s="33"/>
      <c r="N105" s="33"/>
    </row>
    <row r="106" spans="1:14" ht="18" customHeight="1" x14ac:dyDescent="0.5">
      <c r="A106" s="44" t="s">
        <v>325</v>
      </c>
      <c r="B106" s="45"/>
      <c r="C106" s="46"/>
      <c r="D106" s="123">
        <v>0.87</v>
      </c>
      <c r="E106" s="32"/>
      <c r="F106" s="38"/>
      <c r="G106" s="38"/>
      <c r="H106" s="5"/>
      <c r="I106" s="4"/>
      <c r="J106" s="33"/>
      <c r="K106" s="33"/>
      <c r="L106" s="33"/>
      <c r="M106" s="33"/>
      <c r="N106" s="33"/>
    </row>
    <row r="107" spans="1:14" ht="21" x14ac:dyDescent="0.5">
      <c r="A107" s="44"/>
      <c r="B107" s="45"/>
      <c r="C107" s="46"/>
      <c r="D107" s="123"/>
      <c r="E107" s="32"/>
      <c r="F107" s="38"/>
      <c r="G107" s="38"/>
      <c r="H107" s="5"/>
      <c r="I107" s="4"/>
      <c r="J107" s="33"/>
      <c r="K107" s="33"/>
      <c r="L107" s="33"/>
      <c r="M107" s="33"/>
      <c r="N107" s="33"/>
    </row>
    <row r="108" spans="1:14" ht="17.25" customHeight="1" x14ac:dyDescent="0.5">
      <c r="A108" s="44" t="s">
        <v>441</v>
      </c>
      <c r="B108" s="45"/>
      <c r="C108" s="46"/>
      <c r="D108" s="119">
        <v>0.2</v>
      </c>
      <c r="E108" s="32" t="s">
        <v>57</v>
      </c>
      <c r="F108" s="38"/>
      <c r="G108" s="38"/>
      <c r="H108" s="5"/>
      <c r="I108" s="4"/>
      <c r="J108" s="33"/>
      <c r="K108" s="33"/>
      <c r="L108" s="33"/>
      <c r="M108" s="33"/>
      <c r="N108" s="33"/>
    </row>
    <row r="109" spans="1:14" ht="17.25" customHeight="1" x14ac:dyDescent="0.5">
      <c r="A109" s="44" t="s">
        <v>440</v>
      </c>
      <c r="B109" s="45"/>
      <c r="C109" s="46"/>
      <c r="D109" s="119">
        <v>0.27</v>
      </c>
      <c r="E109" s="32" t="s">
        <v>57</v>
      </c>
      <c r="F109" s="38"/>
      <c r="G109" s="38"/>
      <c r="H109" s="5"/>
      <c r="I109" s="4"/>
      <c r="J109" s="33"/>
      <c r="K109" s="33"/>
      <c r="L109" s="33"/>
      <c r="M109" s="33"/>
      <c r="N109" s="33"/>
    </row>
    <row r="110" spans="1:14" ht="16.5" customHeight="1" x14ac:dyDescent="0.5">
      <c r="A110" s="44" t="s">
        <v>67</v>
      </c>
      <c r="B110" s="45"/>
      <c r="C110" s="46"/>
      <c r="D110" s="123">
        <v>0.01</v>
      </c>
      <c r="E110" s="32" t="s">
        <v>57</v>
      </c>
      <c r="F110" s="38"/>
      <c r="G110" s="38"/>
      <c r="H110" s="5"/>
      <c r="I110" s="4"/>
      <c r="J110" s="33"/>
      <c r="K110" s="33"/>
      <c r="L110" s="33"/>
      <c r="M110" s="33"/>
      <c r="N110" s="33"/>
    </row>
    <row r="111" spans="1:14" ht="16.5" customHeight="1" x14ac:dyDescent="0.5">
      <c r="A111" s="44" t="s">
        <v>386</v>
      </c>
      <c r="B111" s="45"/>
      <c r="C111" s="46"/>
      <c r="D111" s="123">
        <v>0.15</v>
      </c>
      <c r="E111" s="32" t="s">
        <v>57</v>
      </c>
      <c r="F111" s="38"/>
      <c r="G111" s="38"/>
      <c r="H111" s="5"/>
      <c r="I111" s="4"/>
      <c r="J111" s="33"/>
      <c r="K111" s="33"/>
      <c r="L111" s="33"/>
      <c r="M111" s="33"/>
      <c r="N111" s="33"/>
    </row>
    <row r="112" spans="1:14" ht="21" x14ac:dyDescent="0.5">
      <c r="A112" s="239"/>
      <c r="B112" s="240"/>
      <c r="C112" s="241"/>
      <c r="D112" s="42"/>
      <c r="E112" s="32"/>
      <c r="F112" s="38"/>
      <c r="G112" s="38"/>
      <c r="H112" s="3"/>
      <c r="I112" s="4"/>
      <c r="J112" s="33"/>
      <c r="K112" s="33"/>
      <c r="L112" s="33"/>
      <c r="M112" s="33"/>
      <c r="N112" s="33"/>
    </row>
    <row r="113" spans="1:14" ht="21" x14ac:dyDescent="0.5">
      <c r="A113" s="38" t="s">
        <v>140</v>
      </c>
      <c r="B113" s="39">
        <v>20</v>
      </c>
      <c r="C113" s="5" t="s">
        <v>388</v>
      </c>
      <c r="D113" s="4"/>
      <c r="E113" s="33"/>
      <c r="F113" s="38"/>
      <c r="G113" s="39"/>
      <c r="H113" s="5"/>
      <c r="I113" s="4"/>
      <c r="J113" s="33"/>
      <c r="K113" s="33"/>
      <c r="L113" s="33"/>
      <c r="M113" s="13"/>
      <c r="N113" s="15"/>
    </row>
    <row r="114" spans="1:14" ht="15.5" x14ac:dyDescent="0.35">
      <c r="A114" s="5"/>
      <c r="B114" s="5"/>
      <c r="C114" s="5"/>
      <c r="D114" s="4"/>
      <c r="E114" s="33"/>
      <c r="F114" s="5"/>
      <c r="G114" s="5"/>
      <c r="H114" s="5"/>
      <c r="I114" s="4"/>
      <c r="J114" s="33"/>
      <c r="K114" s="33"/>
      <c r="L114" s="33"/>
      <c r="M114" s="33"/>
      <c r="N114" s="33"/>
    </row>
    <row r="115" spans="1:14" ht="15.5" x14ac:dyDescent="0.35">
      <c r="A115" s="5"/>
      <c r="B115" s="5"/>
      <c r="C115" s="4"/>
      <c r="D115" s="4"/>
      <c r="E115" s="33"/>
      <c r="F115" s="5"/>
      <c r="G115" s="5"/>
      <c r="H115" s="4"/>
      <c r="I115" s="4"/>
      <c r="J115" s="33"/>
      <c r="K115" s="33"/>
      <c r="L115" s="33"/>
      <c r="M115" s="33"/>
      <c r="N115" s="33"/>
    </row>
    <row r="116" spans="1:14" ht="15.5" x14ac:dyDescent="0.35">
      <c r="A116" s="5"/>
      <c r="B116" s="13"/>
      <c r="C116" s="15"/>
      <c r="D116" s="15"/>
      <c r="E116" s="33"/>
      <c r="F116" s="5"/>
      <c r="G116" s="13"/>
      <c r="H116" s="15"/>
      <c r="I116" s="15"/>
      <c r="J116" s="33"/>
      <c r="K116" s="33"/>
      <c r="L116" s="41"/>
      <c r="M116" s="13"/>
      <c r="N116" s="15"/>
    </row>
    <row r="117" spans="1:14" ht="15.5" x14ac:dyDescent="0.35">
      <c r="A117" s="5"/>
      <c r="B117" s="13"/>
      <c r="C117" s="15"/>
      <c r="D117" s="15"/>
      <c r="E117" s="33"/>
      <c r="F117" s="5"/>
      <c r="G117" s="13"/>
      <c r="H117" s="15"/>
      <c r="I117" s="15"/>
      <c r="J117" s="33"/>
      <c r="K117" s="33"/>
      <c r="L117" s="33"/>
      <c r="M117" s="13"/>
      <c r="N117" s="15"/>
    </row>
    <row r="118" spans="1:14" ht="15.5" x14ac:dyDescent="0.35">
      <c r="A118" s="5"/>
      <c r="B118" s="13"/>
      <c r="C118" s="15"/>
      <c r="D118" s="15"/>
      <c r="E118" s="33"/>
      <c r="F118" s="5"/>
      <c r="G118" s="13"/>
      <c r="H118" s="15"/>
      <c r="I118" s="15"/>
      <c r="J118" s="33"/>
      <c r="K118" s="33"/>
      <c r="L118" s="33"/>
      <c r="M118" s="13"/>
      <c r="N118" s="15"/>
    </row>
    <row r="119" spans="1:14" ht="15.5" x14ac:dyDescent="0.35">
      <c r="A119" s="5"/>
      <c r="B119" s="13"/>
      <c r="C119" s="15"/>
      <c r="D119" s="15"/>
      <c r="E119" s="33"/>
      <c r="F119" s="5"/>
      <c r="G119" s="13"/>
      <c r="H119" s="15"/>
      <c r="I119" s="15"/>
      <c r="J119" s="33"/>
      <c r="K119" s="33"/>
      <c r="L119" s="33"/>
      <c r="M119" s="33"/>
      <c r="N119" s="33"/>
    </row>
    <row r="120" spans="1:14" ht="15.5" x14ac:dyDescent="0.35">
      <c r="A120" s="5"/>
      <c r="B120" s="13"/>
      <c r="C120" s="15"/>
      <c r="D120" s="15"/>
      <c r="E120" s="33"/>
      <c r="F120" s="5"/>
      <c r="G120" s="13"/>
      <c r="H120" s="15"/>
      <c r="I120" s="15"/>
      <c r="J120" s="33"/>
      <c r="K120" s="33"/>
      <c r="L120" s="33"/>
      <c r="M120" s="33"/>
      <c r="N120" s="33"/>
    </row>
    <row r="121" spans="1:14" ht="15.5" x14ac:dyDescent="0.35">
      <c r="A121" s="5"/>
      <c r="B121" s="13"/>
      <c r="C121" s="13"/>
      <c r="D121" s="15"/>
      <c r="E121" s="33"/>
      <c r="F121" s="5"/>
      <c r="G121" s="13"/>
      <c r="H121" s="13"/>
      <c r="I121" s="15"/>
      <c r="J121" s="33"/>
      <c r="K121" s="33"/>
      <c r="L121" s="33"/>
      <c r="M121" s="33"/>
      <c r="N121" s="33"/>
    </row>
    <row r="122" spans="1:14" ht="13" x14ac:dyDescent="0.3">
      <c r="A122" s="13"/>
      <c r="B122" s="13"/>
      <c r="C122" s="13"/>
      <c r="D122" s="15"/>
      <c r="E122" s="33"/>
      <c r="F122" s="13"/>
      <c r="G122" s="13"/>
      <c r="H122" s="13"/>
      <c r="I122" s="15"/>
      <c r="J122" s="33"/>
      <c r="K122" s="33"/>
      <c r="L122" s="33"/>
      <c r="M122" s="33"/>
      <c r="N122" s="33"/>
    </row>
    <row r="123" spans="1:14" ht="15.5" x14ac:dyDescent="0.35">
      <c r="A123" s="5"/>
      <c r="B123" s="13"/>
      <c r="C123" s="13"/>
      <c r="D123" s="15"/>
      <c r="E123" s="33"/>
      <c r="F123" s="5"/>
      <c r="G123" s="13"/>
      <c r="H123" s="13"/>
      <c r="I123" s="15"/>
      <c r="J123" s="33"/>
      <c r="K123" s="33"/>
      <c r="L123" s="33"/>
      <c r="M123" s="33"/>
      <c r="N123" s="33"/>
    </row>
    <row r="124" spans="1:14" ht="15.5" x14ac:dyDescent="0.35">
      <c r="A124" s="5"/>
      <c r="B124" s="40"/>
      <c r="C124" s="13"/>
      <c r="D124" s="15"/>
      <c r="E124" s="33"/>
      <c r="F124" s="5"/>
      <c r="G124" s="40"/>
      <c r="H124" s="13"/>
      <c r="I124" s="15"/>
      <c r="J124" s="33"/>
      <c r="K124" s="33"/>
      <c r="L124" s="33"/>
      <c r="M124" s="33"/>
      <c r="N124" s="33"/>
    </row>
    <row r="125" spans="1:14" ht="13" x14ac:dyDescent="0.3">
      <c r="A125" s="13"/>
      <c r="B125" s="13"/>
      <c r="C125" s="13"/>
      <c r="D125" s="15"/>
      <c r="E125" s="33"/>
      <c r="F125" s="33"/>
      <c r="G125" s="33"/>
      <c r="H125" s="33"/>
      <c r="I125" s="33"/>
      <c r="J125" s="33"/>
      <c r="K125" s="33"/>
      <c r="L125" s="33"/>
      <c r="M125" s="33"/>
      <c r="N125" s="33"/>
    </row>
    <row r="126" spans="1:14" ht="13" x14ac:dyDescent="0.3">
      <c r="A126" s="13"/>
      <c r="B126" s="13"/>
      <c r="C126" s="13"/>
      <c r="D126" s="15"/>
      <c r="E126" s="33"/>
      <c r="F126" s="33"/>
      <c r="G126" s="33"/>
      <c r="H126" s="33"/>
      <c r="I126" s="33"/>
      <c r="J126" s="33"/>
      <c r="K126" s="33"/>
      <c r="L126" s="33"/>
      <c r="M126" s="33"/>
      <c r="N126" s="33"/>
    </row>
    <row r="127" spans="1:14" ht="13" x14ac:dyDescent="0.3">
      <c r="A127" s="13"/>
      <c r="B127" s="13"/>
      <c r="C127" s="13"/>
      <c r="D127" s="15"/>
      <c r="E127" s="33"/>
      <c r="F127" s="33"/>
      <c r="G127" s="33"/>
      <c r="H127" s="33"/>
      <c r="I127" s="33"/>
      <c r="J127" s="33"/>
      <c r="K127" s="33"/>
      <c r="L127" s="33"/>
      <c r="M127" s="33"/>
      <c r="N127" s="33"/>
    </row>
    <row r="128" spans="1:14" ht="13" x14ac:dyDescent="0.3">
      <c r="A128" s="13"/>
      <c r="B128" s="13"/>
      <c r="C128" s="13"/>
      <c r="D128" s="13"/>
      <c r="E128" s="33"/>
      <c r="F128" s="33"/>
      <c r="G128" s="33"/>
      <c r="H128" s="33"/>
      <c r="I128" s="33"/>
      <c r="J128" s="33"/>
      <c r="K128" s="33"/>
      <c r="L128" s="33"/>
      <c r="M128" s="33"/>
      <c r="N128" s="33"/>
    </row>
    <row r="129" spans="1:14" ht="13" x14ac:dyDescent="0.3">
      <c r="A129" s="13"/>
      <c r="B129" s="13"/>
      <c r="C129" s="13"/>
      <c r="D129" s="13"/>
      <c r="E129" s="33"/>
      <c r="F129" s="33"/>
      <c r="G129" s="33"/>
      <c r="H129" s="33"/>
      <c r="I129" s="33"/>
      <c r="J129" s="33"/>
      <c r="K129" s="33"/>
      <c r="L129" s="33"/>
      <c r="M129" s="33"/>
      <c r="N129" s="33"/>
    </row>
    <row r="130" spans="1:14" ht="21" x14ac:dyDescent="0.5">
      <c r="A130" s="38"/>
      <c r="B130" s="38"/>
      <c r="C130" s="5"/>
      <c r="D130" s="4"/>
      <c r="E130" s="33"/>
      <c r="F130" s="38"/>
      <c r="G130" s="38"/>
      <c r="H130" s="5"/>
      <c r="I130" s="4"/>
      <c r="J130" s="33"/>
      <c r="K130" s="33"/>
      <c r="L130" s="33"/>
      <c r="M130" s="33"/>
      <c r="N130" s="33"/>
    </row>
    <row r="131" spans="1:14" ht="21" x14ac:dyDescent="0.5">
      <c r="A131" s="38"/>
      <c r="B131" s="38"/>
      <c r="C131" s="3"/>
      <c r="D131" s="4"/>
      <c r="E131" s="33"/>
      <c r="F131" s="38"/>
      <c r="G131" s="38"/>
      <c r="H131" s="3"/>
      <c r="I131" s="4"/>
      <c r="J131" s="33"/>
      <c r="K131" s="33"/>
      <c r="L131" s="33"/>
      <c r="M131" s="33"/>
      <c r="N131" s="33"/>
    </row>
    <row r="132" spans="1:14" ht="21" x14ac:dyDescent="0.5">
      <c r="A132" s="38"/>
      <c r="B132" s="39"/>
      <c r="C132" s="5"/>
      <c r="D132" s="4"/>
      <c r="E132" s="33"/>
      <c r="F132" s="38"/>
      <c r="G132" s="39"/>
      <c r="H132" s="5"/>
      <c r="I132" s="4"/>
      <c r="J132" s="33"/>
      <c r="K132" s="33"/>
      <c r="L132" s="33"/>
      <c r="M132" s="33"/>
      <c r="N132" s="33"/>
    </row>
    <row r="133" spans="1:14" ht="15.5" x14ac:dyDescent="0.35">
      <c r="A133" s="5"/>
      <c r="B133" s="5"/>
      <c r="C133" s="5"/>
      <c r="D133" s="4"/>
      <c r="E133" s="33"/>
      <c r="F133" s="5"/>
      <c r="G133" s="5"/>
      <c r="H133" s="5"/>
      <c r="I133" s="4"/>
      <c r="J133" s="33"/>
      <c r="K133" s="33"/>
      <c r="L133" s="33"/>
      <c r="M133" s="33"/>
      <c r="N133" s="33"/>
    </row>
    <row r="134" spans="1:14" ht="15.5" x14ac:dyDescent="0.35">
      <c r="A134" s="5"/>
      <c r="B134" s="5"/>
      <c r="C134" s="4"/>
      <c r="D134" s="4"/>
      <c r="E134" s="33"/>
      <c r="F134" s="5"/>
      <c r="G134" s="5"/>
      <c r="H134" s="4"/>
      <c r="I134" s="4"/>
      <c r="J134" s="33"/>
      <c r="K134" s="33"/>
      <c r="L134" s="33"/>
      <c r="M134" s="33"/>
      <c r="N134" s="33"/>
    </row>
    <row r="135" spans="1:14" ht="15.5" x14ac:dyDescent="0.35">
      <c r="A135" s="5"/>
      <c r="B135" s="13"/>
      <c r="C135" s="15"/>
      <c r="D135" s="15"/>
      <c r="E135" s="33"/>
      <c r="F135" s="5"/>
      <c r="G135" s="13"/>
      <c r="H135" s="15"/>
      <c r="I135" s="15"/>
      <c r="J135" s="33"/>
      <c r="K135" s="33"/>
      <c r="L135" s="33"/>
      <c r="M135" s="13"/>
      <c r="N135" s="15"/>
    </row>
    <row r="136" spans="1:14" ht="15.5" x14ac:dyDescent="0.35">
      <c r="A136" s="5"/>
      <c r="B136" s="13"/>
      <c r="C136" s="15"/>
      <c r="D136" s="15"/>
      <c r="E136" s="33"/>
      <c r="F136" s="5"/>
      <c r="G136" s="13"/>
      <c r="H136" s="15"/>
      <c r="I136" s="15"/>
      <c r="J136" s="33"/>
      <c r="K136" s="33"/>
      <c r="L136" s="33"/>
      <c r="M136" s="13"/>
      <c r="N136" s="15"/>
    </row>
    <row r="137" spans="1:14" ht="15.5" x14ac:dyDescent="0.35">
      <c r="A137" s="5"/>
      <c r="B137" s="13"/>
      <c r="C137" s="15"/>
      <c r="D137" s="15"/>
      <c r="E137" s="33"/>
      <c r="F137" s="5"/>
      <c r="G137" s="13"/>
      <c r="H137" s="15"/>
      <c r="I137" s="15"/>
      <c r="J137" s="33"/>
      <c r="K137" s="33"/>
      <c r="L137" s="33"/>
      <c r="M137" s="13"/>
      <c r="N137" s="15"/>
    </row>
    <row r="138" spans="1:14" ht="15.5" x14ac:dyDescent="0.35">
      <c r="A138" s="5"/>
      <c r="B138" s="13"/>
      <c r="C138" s="15"/>
      <c r="D138" s="15"/>
      <c r="E138" s="33"/>
      <c r="F138" s="5"/>
      <c r="G138" s="13"/>
      <c r="H138" s="15"/>
      <c r="I138" s="15"/>
      <c r="J138" s="33"/>
      <c r="K138" s="33"/>
      <c r="L138" s="33"/>
      <c r="M138" s="13"/>
      <c r="N138" s="15"/>
    </row>
    <row r="139" spans="1:14" ht="15.5" x14ac:dyDescent="0.35">
      <c r="A139" s="5"/>
      <c r="B139" s="13"/>
      <c r="C139" s="15"/>
      <c r="D139" s="15"/>
      <c r="E139" s="33"/>
      <c r="F139" s="5"/>
      <c r="G139" s="13"/>
      <c r="H139" s="15"/>
      <c r="I139" s="15"/>
      <c r="J139" s="33"/>
      <c r="K139" s="33"/>
      <c r="L139" s="33"/>
      <c r="M139" s="13"/>
      <c r="N139" s="15"/>
    </row>
    <row r="140" spans="1:14" ht="15.5" x14ac:dyDescent="0.35">
      <c r="A140" s="5"/>
      <c r="B140" s="13"/>
      <c r="C140" s="15"/>
      <c r="D140" s="15"/>
      <c r="E140" s="33"/>
      <c r="F140" s="5"/>
      <c r="G140" s="13"/>
      <c r="H140" s="15"/>
      <c r="I140" s="15"/>
      <c r="J140" s="33"/>
      <c r="K140" s="33"/>
      <c r="L140" s="33"/>
      <c r="M140" s="13"/>
      <c r="N140" s="15"/>
    </row>
    <row r="141" spans="1:14" ht="15.5" x14ac:dyDescent="0.35">
      <c r="A141" s="5"/>
      <c r="B141" s="13"/>
      <c r="C141" s="13"/>
      <c r="D141" s="15"/>
      <c r="E141" s="33"/>
      <c r="F141" s="5"/>
      <c r="G141" s="13"/>
      <c r="H141" s="13"/>
      <c r="I141" s="15"/>
      <c r="J141" s="33"/>
      <c r="K141" s="33"/>
      <c r="L141" s="33"/>
      <c r="M141" s="13"/>
      <c r="N141" s="15"/>
    </row>
    <row r="142" spans="1:14" ht="15.5" x14ac:dyDescent="0.35">
      <c r="A142" s="5"/>
      <c r="B142" s="13"/>
      <c r="C142" s="13"/>
      <c r="D142" s="15"/>
      <c r="E142" s="33"/>
      <c r="F142" s="5"/>
      <c r="G142" s="13"/>
      <c r="H142" s="13"/>
      <c r="I142" s="15"/>
      <c r="J142" s="33"/>
      <c r="K142" s="33"/>
      <c r="L142" s="33"/>
      <c r="M142" s="13"/>
      <c r="N142" s="15"/>
    </row>
    <row r="143" spans="1:14" ht="13" x14ac:dyDescent="0.3">
      <c r="A143" s="13"/>
      <c r="B143" s="13"/>
      <c r="C143" s="13"/>
      <c r="D143" s="15"/>
      <c r="E143" s="33"/>
      <c r="F143" s="13"/>
      <c r="G143" s="13"/>
      <c r="H143" s="13"/>
      <c r="I143" s="15"/>
      <c r="J143" s="33"/>
      <c r="K143" s="33"/>
      <c r="L143" s="33"/>
      <c r="M143" s="33"/>
      <c r="N143" s="33"/>
    </row>
    <row r="144" spans="1:14" ht="15.5" x14ac:dyDescent="0.35">
      <c r="A144" s="5"/>
      <c r="B144" s="13"/>
      <c r="C144" s="15"/>
      <c r="D144" s="15"/>
      <c r="E144" s="33"/>
      <c r="F144" s="5"/>
      <c r="G144" s="13"/>
      <c r="H144" s="15"/>
      <c r="I144" s="15"/>
      <c r="J144" s="33"/>
      <c r="K144" s="33"/>
      <c r="L144" s="33"/>
      <c r="M144" s="33"/>
      <c r="N144" s="33"/>
    </row>
    <row r="145" spans="1:14" ht="15.5" x14ac:dyDescent="0.35">
      <c r="A145" s="5"/>
      <c r="B145" s="40"/>
      <c r="C145" s="13"/>
      <c r="D145" s="15"/>
      <c r="E145" s="33"/>
      <c r="F145" s="5"/>
      <c r="G145" s="40"/>
      <c r="H145" s="13"/>
      <c r="I145" s="15"/>
      <c r="J145" s="33"/>
      <c r="K145" s="33"/>
      <c r="L145" s="33"/>
      <c r="M145" s="33"/>
      <c r="N145" s="33"/>
    </row>
    <row r="146" spans="1:14" ht="15.5" x14ac:dyDescent="0.35">
      <c r="A146" s="5"/>
      <c r="B146" s="15"/>
      <c r="C146" s="13"/>
      <c r="D146" s="13"/>
      <c r="E146" s="33"/>
      <c r="F146" s="5"/>
      <c r="G146" s="15"/>
      <c r="H146" s="13"/>
      <c r="I146" s="13"/>
      <c r="J146" s="33"/>
      <c r="K146" s="33"/>
      <c r="L146" s="33"/>
      <c r="M146" s="33"/>
      <c r="N146" s="33"/>
    </row>
    <row r="147" spans="1:14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</row>
    <row r="148" spans="1:14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</row>
    <row r="149" spans="1:14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</row>
    <row r="150" spans="1:14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</row>
    <row r="151" spans="1:14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</row>
    <row r="152" spans="1:14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</row>
    <row r="153" spans="1:14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</row>
    <row r="154" spans="1:14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</row>
    <row r="155" spans="1:14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</row>
    <row r="156" spans="1:14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</row>
    <row r="157" spans="1:14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</row>
    <row r="158" spans="1:14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 spans="1:14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</row>
    <row r="160" spans="1:14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 spans="1:14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 spans="1:14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 spans="1:14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 spans="1:14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 spans="1:14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</row>
    <row r="166" spans="1:14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 spans="1:14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</row>
    <row r="168" spans="1:14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</row>
    <row r="169" spans="1:14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</row>
    <row r="170" spans="1:14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 spans="1:14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</row>
  </sheetData>
  <mergeCells count="17">
    <mergeCell ref="A82:C82"/>
    <mergeCell ref="A88:C88"/>
    <mergeCell ref="A95:C95"/>
    <mergeCell ref="A112:C112"/>
    <mergeCell ref="A59:C59"/>
    <mergeCell ref="A62:C62"/>
    <mergeCell ref="A77:C77"/>
    <mergeCell ref="A79:C79"/>
    <mergeCell ref="A81:C81"/>
    <mergeCell ref="A9:C9"/>
    <mergeCell ref="A45:C45"/>
    <mergeCell ref="A46:C46"/>
    <mergeCell ref="A47:C47"/>
    <mergeCell ref="A1:M1"/>
    <mergeCell ref="A4:C4"/>
    <mergeCell ref="A5:C5"/>
    <mergeCell ref="A6:C6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1"/>
  <sheetViews>
    <sheetView workbookViewId="0">
      <selection activeCell="K21" sqref="K21"/>
    </sheetView>
  </sheetViews>
  <sheetFormatPr defaultRowHeight="12.5" x14ac:dyDescent="0.25"/>
  <cols>
    <col min="1" max="1" width="26" customWidth="1"/>
    <col min="4" max="4" width="14" bestFit="1" customWidth="1"/>
    <col min="5" max="5" width="7.1796875" bestFit="1" customWidth="1"/>
    <col min="6" max="6" width="9.54296875" customWidth="1"/>
    <col min="11" max="11" width="18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255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5" x14ac:dyDescent="0.35">
      <c r="A4" s="7"/>
      <c r="B4" s="13"/>
      <c r="C4" s="15"/>
      <c r="D4" s="20"/>
      <c r="E4" s="13"/>
      <c r="F4" s="21"/>
      <c r="G4" s="22"/>
      <c r="H4" s="22"/>
      <c r="I4" s="22"/>
      <c r="J4" s="22"/>
      <c r="K4" s="22"/>
      <c r="L4" s="23"/>
      <c r="M4" s="13"/>
      <c r="N4" s="13"/>
      <c r="O4" s="13"/>
      <c r="P4" s="13"/>
      <c r="Q4" s="13"/>
    </row>
    <row r="5" spans="1:17" ht="15.5" x14ac:dyDescent="0.35">
      <c r="A5" s="7"/>
      <c r="B5" s="13"/>
      <c r="C5" s="15"/>
      <c r="D5" s="20"/>
      <c r="E5" s="13"/>
      <c r="F5" s="22"/>
      <c r="G5" s="22"/>
      <c r="H5" s="22"/>
      <c r="I5" s="22"/>
      <c r="J5" s="22"/>
      <c r="K5" s="22"/>
      <c r="L5" s="22"/>
      <c r="M5" s="13"/>
      <c r="N5" s="13"/>
      <c r="O5" s="13"/>
      <c r="P5" s="13"/>
      <c r="Q5" s="13"/>
    </row>
    <row r="6" spans="1:17" ht="15.5" x14ac:dyDescent="0.35">
      <c r="A6" s="246" t="s">
        <v>433</v>
      </c>
      <c r="B6" s="246"/>
      <c r="C6" s="246"/>
      <c r="D6" s="246"/>
      <c r="E6" s="246"/>
      <c r="F6" s="246"/>
      <c r="G6" s="246"/>
      <c r="H6" s="22"/>
      <c r="I6" s="22"/>
      <c r="J6" s="22"/>
      <c r="K6" s="22"/>
      <c r="L6" s="22"/>
      <c r="M6" s="13"/>
      <c r="N6" s="13"/>
      <c r="O6" s="13"/>
      <c r="P6" s="13"/>
      <c r="Q6" s="13"/>
    </row>
    <row r="7" spans="1:17" ht="26.25" customHeight="1" x14ac:dyDescent="0.35">
      <c r="A7" s="242" t="s">
        <v>421</v>
      </c>
      <c r="B7" s="243"/>
      <c r="C7" s="15"/>
      <c r="D7" s="134" t="s">
        <v>430</v>
      </c>
      <c r="E7" s="135" t="s">
        <v>170</v>
      </c>
      <c r="F7" s="135" t="s">
        <v>2</v>
      </c>
      <c r="G7" s="135" t="s">
        <v>4</v>
      </c>
      <c r="H7" s="95"/>
      <c r="I7" s="97"/>
      <c r="J7" s="124"/>
      <c r="K7" s="92"/>
      <c r="L7" s="92"/>
      <c r="M7" s="95"/>
      <c r="N7" s="20" t="s">
        <v>434</v>
      </c>
      <c r="O7" s="13"/>
      <c r="P7" s="13" t="s">
        <v>436</v>
      </c>
      <c r="Q7" s="13"/>
    </row>
    <row r="8" spans="1:17" ht="30" customHeight="1" x14ac:dyDescent="0.35">
      <c r="A8" s="128" t="s">
        <v>422</v>
      </c>
      <c r="B8" s="129">
        <v>8.0020000000000007</v>
      </c>
      <c r="C8" s="8"/>
      <c r="D8" s="128" t="s">
        <v>431</v>
      </c>
      <c r="E8" s="136">
        <v>22</v>
      </c>
      <c r="F8" s="137">
        <f>B13*0.18</f>
        <v>1.4330854545454548</v>
      </c>
      <c r="G8" s="137">
        <f>E8*F8</f>
        <v>31.527880000000003</v>
      </c>
      <c r="H8" s="93"/>
      <c r="I8" s="93"/>
      <c r="J8" s="94"/>
      <c r="K8" s="92"/>
      <c r="L8" s="92"/>
      <c r="M8" s="93"/>
      <c r="N8" s="8" t="s">
        <v>435</v>
      </c>
      <c r="O8" s="13"/>
      <c r="P8" s="13"/>
      <c r="Q8" s="13"/>
    </row>
    <row r="9" spans="1:17" ht="15.5" x14ac:dyDescent="0.35">
      <c r="A9" s="128" t="s">
        <v>423</v>
      </c>
      <c r="B9" s="130">
        <v>3.94</v>
      </c>
      <c r="C9" s="15"/>
      <c r="D9" s="128" t="s">
        <v>328</v>
      </c>
      <c r="E9" s="136">
        <v>1</v>
      </c>
      <c r="F9" s="137">
        <f>'Ingredient Cost'!D106</f>
        <v>0.87</v>
      </c>
      <c r="G9" s="137">
        <f>E9*F9</f>
        <v>0.87</v>
      </c>
      <c r="H9" s="95"/>
      <c r="I9" s="96"/>
      <c r="J9" s="94"/>
      <c r="K9" s="92"/>
      <c r="L9" s="94"/>
      <c r="M9" s="95"/>
      <c r="N9" s="74"/>
      <c r="O9" s="13"/>
      <c r="P9" s="13"/>
      <c r="Q9" s="13"/>
    </row>
    <row r="10" spans="1:17" ht="15.5" x14ac:dyDescent="0.35">
      <c r="A10" s="131" t="s">
        <v>424</v>
      </c>
      <c r="B10" s="130">
        <f>B8*B9</f>
        <v>31.527880000000003</v>
      </c>
      <c r="C10" s="15"/>
      <c r="D10" s="128" t="s">
        <v>139</v>
      </c>
      <c r="E10" s="136">
        <f>E8*E9</f>
        <v>22</v>
      </c>
      <c r="F10" s="137">
        <f>'Ingredient Cost'!D105</f>
        <v>7.0000000000000007E-2</v>
      </c>
      <c r="G10" s="137">
        <f>E10*F10</f>
        <v>1.54</v>
      </c>
      <c r="H10" s="95"/>
      <c r="I10" s="95"/>
      <c r="J10" s="94"/>
      <c r="K10" s="92"/>
      <c r="L10" s="94"/>
      <c r="M10" s="95"/>
      <c r="N10" s="15"/>
      <c r="O10" s="13"/>
      <c r="P10" s="13"/>
      <c r="Q10" s="13"/>
    </row>
    <row r="11" spans="1:17" ht="15.5" x14ac:dyDescent="0.35">
      <c r="A11" s="128" t="s">
        <v>425</v>
      </c>
      <c r="B11" s="129">
        <v>4.4119999999999999</v>
      </c>
      <c r="C11" s="15"/>
      <c r="D11" s="128" t="s">
        <v>67</v>
      </c>
      <c r="E11" s="136">
        <v>22</v>
      </c>
      <c r="F11" s="137">
        <f>'Ingredient Cost'!D110</f>
        <v>0.01</v>
      </c>
      <c r="G11" s="137">
        <f>E11*F11</f>
        <v>0.22</v>
      </c>
      <c r="H11" s="95"/>
      <c r="I11" s="95"/>
      <c r="J11" s="94"/>
      <c r="K11" s="92"/>
      <c r="L11" s="94"/>
      <c r="M11" s="95"/>
      <c r="N11" s="15"/>
      <c r="O11" s="13"/>
      <c r="P11" s="13"/>
      <c r="Q11" s="13"/>
    </row>
    <row r="12" spans="1:17" ht="14.5" x14ac:dyDescent="0.35">
      <c r="A12" s="128" t="s">
        <v>426</v>
      </c>
      <c r="B12" s="132">
        <f>B11/B8</f>
        <v>0.55136215946013489</v>
      </c>
      <c r="C12" s="15"/>
      <c r="D12" s="128" t="s">
        <v>140</v>
      </c>
      <c r="E12" s="136">
        <v>54</v>
      </c>
      <c r="F12" s="137">
        <v>20</v>
      </c>
      <c r="G12" s="137">
        <f>F12/E12</f>
        <v>0.37037037037037035</v>
      </c>
      <c r="H12" s="95"/>
      <c r="I12" s="95"/>
      <c r="J12" s="94"/>
      <c r="K12" s="94"/>
      <c r="L12" s="94"/>
      <c r="M12" s="95"/>
      <c r="N12" s="15"/>
      <c r="O12" s="13"/>
      <c r="P12" s="13"/>
      <c r="Q12" s="13"/>
    </row>
    <row r="13" spans="1:17" ht="15.5" x14ac:dyDescent="0.35">
      <c r="A13" s="131" t="s">
        <v>427</v>
      </c>
      <c r="B13" s="130">
        <f>B10/(B11-B14)</f>
        <v>7.9615858585858597</v>
      </c>
      <c r="C13" s="15"/>
      <c r="D13" s="131"/>
      <c r="E13" s="130"/>
      <c r="F13" s="130"/>
      <c r="G13" s="130"/>
      <c r="H13" s="95"/>
      <c r="I13" s="95"/>
      <c r="J13" s="94"/>
      <c r="K13" s="92"/>
      <c r="L13" s="94"/>
      <c r="M13" s="95"/>
      <c r="N13" s="20"/>
      <c r="O13" s="13"/>
      <c r="P13" s="13"/>
      <c r="Q13" s="13"/>
    </row>
    <row r="14" spans="1:17" ht="15.5" x14ac:dyDescent="0.35">
      <c r="A14" s="128" t="s">
        <v>428</v>
      </c>
      <c r="B14" s="129">
        <v>0.45200000000000001</v>
      </c>
      <c r="C14" s="15"/>
      <c r="D14" s="128"/>
      <c r="E14" s="129"/>
      <c r="F14" s="129"/>
      <c r="G14" s="129"/>
      <c r="H14" s="95"/>
      <c r="I14" s="97"/>
      <c r="J14" s="124"/>
      <c r="K14" s="92"/>
      <c r="L14" s="94"/>
      <c r="M14" s="95"/>
      <c r="N14" s="20"/>
      <c r="O14" s="13"/>
      <c r="P14" s="13"/>
      <c r="Q14" s="13"/>
    </row>
    <row r="15" spans="1:17" ht="21" customHeight="1" x14ac:dyDescent="0.35">
      <c r="A15" s="133" t="s">
        <v>429</v>
      </c>
      <c r="B15" s="132">
        <f>B14/B11</f>
        <v>0.10244786944696284</v>
      </c>
      <c r="C15" s="83"/>
      <c r="D15" s="128" t="s">
        <v>432</v>
      </c>
      <c r="E15" s="129"/>
      <c r="F15" s="129"/>
      <c r="G15" s="137">
        <f>SUM(G8:G12)/22</f>
        <v>1.569465925925926</v>
      </c>
      <c r="H15" s="124"/>
      <c r="I15" s="126"/>
      <c r="J15" s="127"/>
      <c r="K15" s="125"/>
      <c r="L15" s="124"/>
      <c r="M15" s="124"/>
      <c r="N15" s="98"/>
    </row>
    <row r="16" spans="1:17" ht="21" customHeight="1" x14ac:dyDescent="0.35">
      <c r="A16" s="7"/>
      <c r="B16" s="83"/>
      <c r="C16" s="83"/>
      <c r="D16" s="83"/>
      <c r="F16" s="125"/>
      <c r="G16" s="124"/>
      <c r="H16" s="124"/>
      <c r="I16" s="126"/>
      <c r="J16" s="127"/>
      <c r="K16" s="125"/>
      <c r="L16" s="124"/>
      <c r="M16" s="124"/>
      <c r="N16" s="98"/>
    </row>
    <row r="17" spans="1:14" ht="21" customHeight="1" x14ac:dyDescent="0.35">
      <c r="A17" s="246" t="s">
        <v>437</v>
      </c>
      <c r="B17" s="246"/>
      <c r="C17" s="246"/>
      <c r="D17" s="246"/>
      <c r="E17" s="246"/>
      <c r="F17" s="246"/>
      <c r="G17" s="246"/>
      <c r="H17" s="22"/>
      <c r="I17" s="98"/>
      <c r="K17" s="100"/>
      <c r="L17" s="22"/>
      <c r="M17" s="22"/>
      <c r="N17" s="98"/>
    </row>
    <row r="18" spans="1:14" ht="21" customHeight="1" x14ac:dyDescent="0.35">
      <c r="A18" s="242" t="s">
        <v>421</v>
      </c>
      <c r="B18" s="243"/>
      <c r="C18" s="15"/>
      <c r="D18" s="134" t="s">
        <v>430</v>
      </c>
      <c r="E18" s="135" t="s">
        <v>170</v>
      </c>
      <c r="F18" s="135" t="s">
        <v>2</v>
      </c>
      <c r="G18" s="135" t="s">
        <v>4</v>
      </c>
      <c r="H18" s="22"/>
      <c r="I18" s="98"/>
    </row>
    <row r="19" spans="1:14" ht="24.75" customHeight="1" x14ac:dyDescent="0.35">
      <c r="A19" s="128" t="s">
        <v>422</v>
      </c>
      <c r="B19" s="129">
        <v>9.5559999999999992</v>
      </c>
      <c r="C19" s="8"/>
      <c r="D19" s="128" t="s">
        <v>431</v>
      </c>
      <c r="E19" s="136">
        <v>25</v>
      </c>
      <c r="F19" s="137">
        <f>B24*0.18</f>
        <v>1.5060255999999999</v>
      </c>
      <c r="G19" s="137">
        <f>E19*F19</f>
        <v>37.650639999999996</v>
      </c>
      <c r="H19" s="15"/>
      <c r="I19" s="20"/>
      <c r="J19" s="13"/>
    </row>
    <row r="20" spans="1:14" ht="15.5" x14ac:dyDescent="0.35">
      <c r="A20" s="128" t="s">
        <v>423</v>
      </c>
      <c r="B20" s="130">
        <v>3.94</v>
      </c>
      <c r="C20" s="15"/>
      <c r="D20" s="128" t="s">
        <v>328</v>
      </c>
      <c r="E20" s="136">
        <v>1</v>
      </c>
      <c r="F20" s="137">
        <f>F9</f>
        <v>0.87</v>
      </c>
      <c r="G20" s="137">
        <f>E20*F20</f>
        <v>0.87</v>
      </c>
      <c r="H20" s="8"/>
      <c r="I20" s="9"/>
      <c r="J20" s="13"/>
    </row>
    <row r="21" spans="1:14" ht="14.5" x14ac:dyDescent="0.35">
      <c r="A21" s="131" t="s">
        <v>424</v>
      </c>
      <c r="B21" s="130">
        <f>B19*B20</f>
        <v>37.650639999999996</v>
      </c>
      <c r="C21" s="15"/>
      <c r="D21" s="128" t="s">
        <v>139</v>
      </c>
      <c r="E21" s="136">
        <f>E19*E20</f>
        <v>25</v>
      </c>
      <c r="F21" s="137">
        <f>F10</f>
        <v>7.0000000000000007E-2</v>
      </c>
      <c r="G21" s="137">
        <f>E21*F21</f>
        <v>1.7500000000000002</v>
      </c>
      <c r="H21" s="10"/>
      <c r="I21" s="11"/>
      <c r="J21" s="13"/>
    </row>
    <row r="22" spans="1:14" ht="14.5" x14ac:dyDescent="0.35">
      <c r="A22" s="128" t="s">
        <v>425</v>
      </c>
      <c r="B22" s="129">
        <v>4.944</v>
      </c>
      <c r="C22" s="15"/>
      <c r="D22" s="128" t="s">
        <v>67</v>
      </c>
      <c r="E22" s="136">
        <v>25</v>
      </c>
      <c r="F22" s="137">
        <f>F11</f>
        <v>0.01</v>
      </c>
      <c r="G22" s="137">
        <f>E22*F22</f>
        <v>0.25</v>
      </c>
      <c r="H22" s="10"/>
      <c r="I22" s="11"/>
      <c r="J22" s="13"/>
    </row>
    <row r="23" spans="1:14" ht="14.5" x14ac:dyDescent="0.35">
      <c r="A23" s="128" t="s">
        <v>426</v>
      </c>
      <c r="B23" s="132">
        <f>B22/B19</f>
        <v>0.51737128505650909</v>
      </c>
      <c r="C23" s="15"/>
      <c r="D23" s="128" t="s">
        <v>140</v>
      </c>
      <c r="E23" s="136">
        <v>54</v>
      </c>
      <c r="F23" s="137">
        <v>20</v>
      </c>
      <c r="G23" s="137">
        <f>F23/E23</f>
        <v>0.37037037037037035</v>
      </c>
      <c r="H23" s="10"/>
      <c r="I23" s="11"/>
      <c r="J23" s="13"/>
    </row>
    <row r="24" spans="1:14" ht="14.5" x14ac:dyDescent="0.35">
      <c r="A24" s="131" t="s">
        <v>427</v>
      </c>
      <c r="B24" s="130">
        <f>B21/(B22-B25)</f>
        <v>8.3668088888888885</v>
      </c>
      <c r="C24" s="15"/>
      <c r="D24" s="131"/>
      <c r="E24" s="130"/>
      <c r="F24" s="130"/>
      <c r="G24" s="130"/>
      <c r="H24" s="10"/>
      <c r="I24" s="11"/>
      <c r="J24" s="13"/>
    </row>
    <row r="25" spans="1:14" ht="14.5" x14ac:dyDescent="0.35">
      <c r="A25" s="128" t="s">
        <v>428</v>
      </c>
      <c r="B25" s="129">
        <v>0.44400000000000001</v>
      </c>
      <c r="C25" s="15"/>
      <c r="D25" s="128"/>
      <c r="E25" s="129"/>
      <c r="F25" s="129"/>
      <c r="G25" s="129"/>
      <c r="H25" s="10"/>
      <c r="I25" s="10"/>
      <c r="J25" s="13"/>
    </row>
    <row r="26" spans="1:14" ht="15.5" x14ac:dyDescent="0.35">
      <c r="A26" s="133" t="s">
        <v>429</v>
      </c>
      <c r="B26" s="132">
        <f>B25/B22</f>
        <v>8.9805825242718448E-2</v>
      </c>
      <c r="C26" s="83"/>
      <c r="D26" s="128" t="s">
        <v>432</v>
      </c>
      <c r="E26" s="129"/>
      <c r="F26" s="129"/>
      <c r="G26" s="137">
        <f>SUM(G19:G23)/25</f>
        <v>1.6356404148148147</v>
      </c>
      <c r="H26" s="15"/>
      <c r="I26" s="20"/>
      <c r="J26" s="13"/>
    </row>
    <row r="27" spans="1:14" ht="16" thickBot="1" x14ac:dyDescent="0.4">
      <c r="A27" s="7"/>
      <c r="B27" s="106"/>
      <c r="C27" s="107"/>
      <c r="D27" s="108"/>
    </row>
    <row r="29" spans="1:14" ht="15.5" x14ac:dyDescent="0.35">
      <c r="A29" s="246" t="s">
        <v>438</v>
      </c>
      <c r="B29" s="246"/>
      <c r="C29" s="246"/>
      <c r="D29" s="246"/>
      <c r="E29" s="246"/>
      <c r="F29" s="246"/>
      <c r="G29" s="246"/>
    </row>
    <row r="30" spans="1:14" ht="14.5" x14ac:dyDescent="0.35">
      <c r="A30" s="242" t="s">
        <v>421</v>
      </c>
      <c r="B30" s="243"/>
      <c r="C30" s="15"/>
      <c r="D30" s="134" t="s">
        <v>430</v>
      </c>
      <c r="E30" s="135" t="s">
        <v>170</v>
      </c>
      <c r="F30" s="135" t="s">
        <v>2</v>
      </c>
      <c r="G30" s="135" t="s">
        <v>4</v>
      </c>
    </row>
    <row r="31" spans="1:14" ht="15.5" x14ac:dyDescent="0.35">
      <c r="A31" s="128" t="s">
        <v>422</v>
      </c>
      <c r="B31" s="129">
        <v>9.6780000000000008</v>
      </c>
      <c r="C31" s="8"/>
      <c r="D31" s="128" t="s">
        <v>431</v>
      </c>
      <c r="E31" s="136">
        <v>22</v>
      </c>
      <c r="F31" s="137">
        <f>B36*0.18</f>
        <v>1.7332418181818181</v>
      </c>
      <c r="G31" s="137">
        <f>E31*F31</f>
        <v>38.131319999999995</v>
      </c>
    </row>
    <row r="32" spans="1:14" ht="14.5" x14ac:dyDescent="0.35">
      <c r="A32" s="128" t="s">
        <v>423</v>
      </c>
      <c r="B32" s="130">
        <v>3.94</v>
      </c>
      <c r="C32" s="15"/>
      <c r="D32" s="128" t="s">
        <v>328</v>
      </c>
      <c r="E32" s="136">
        <v>1</v>
      </c>
      <c r="F32" s="137">
        <f>F9</f>
        <v>0.87</v>
      </c>
      <c r="G32" s="137">
        <f>E32*F32</f>
        <v>0.87</v>
      </c>
    </row>
    <row r="33" spans="1:7" ht="14.5" x14ac:dyDescent="0.35">
      <c r="A33" s="131" t="s">
        <v>424</v>
      </c>
      <c r="B33" s="130">
        <f>B31*B32</f>
        <v>38.131320000000002</v>
      </c>
      <c r="C33" s="15"/>
      <c r="D33" s="128" t="s">
        <v>139</v>
      </c>
      <c r="E33" s="136">
        <f>E31*E32</f>
        <v>22</v>
      </c>
      <c r="F33" s="137">
        <f>F10</f>
        <v>7.0000000000000007E-2</v>
      </c>
      <c r="G33" s="137">
        <f>E33*F33</f>
        <v>1.54</v>
      </c>
    </row>
    <row r="34" spans="1:7" ht="14.5" x14ac:dyDescent="0.35">
      <c r="A34" s="128" t="s">
        <v>425</v>
      </c>
      <c r="B34" s="129">
        <v>4.91</v>
      </c>
      <c r="C34" s="15"/>
      <c r="D34" s="128" t="s">
        <v>67</v>
      </c>
      <c r="E34" s="136">
        <v>22</v>
      </c>
      <c r="F34" s="137">
        <f>F11</f>
        <v>0.01</v>
      </c>
      <c r="G34" s="137">
        <f>E34*F34</f>
        <v>0.22</v>
      </c>
    </row>
    <row r="35" spans="1:7" ht="14.5" x14ac:dyDescent="0.35">
      <c r="A35" s="128" t="s">
        <v>426</v>
      </c>
      <c r="B35" s="132">
        <f>B34/B31</f>
        <v>0.50733622649307708</v>
      </c>
      <c r="C35" s="15"/>
      <c r="D35" s="128" t="s">
        <v>140</v>
      </c>
      <c r="E35" s="136">
        <v>54</v>
      </c>
      <c r="F35" s="137">
        <v>20</v>
      </c>
      <c r="G35" s="137">
        <f>F35/E35</f>
        <v>0.37037037037037035</v>
      </c>
    </row>
    <row r="36" spans="1:7" ht="14.5" x14ac:dyDescent="0.35">
      <c r="A36" s="131" t="s">
        <v>427</v>
      </c>
      <c r="B36" s="130">
        <f>B33/(B34-B37)</f>
        <v>9.6291212121212126</v>
      </c>
      <c r="C36" s="15"/>
      <c r="D36" s="131"/>
      <c r="E36" s="130"/>
      <c r="F36" s="130"/>
      <c r="G36" s="130"/>
    </row>
    <row r="37" spans="1:7" ht="14.5" x14ac:dyDescent="0.35">
      <c r="A37" s="128" t="s">
        <v>428</v>
      </c>
      <c r="B37" s="129">
        <v>0.95</v>
      </c>
      <c r="C37" s="15"/>
      <c r="D37" s="128"/>
      <c r="E37" s="129"/>
      <c r="F37" s="129"/>
      <c r="G37" s="129"/>
    </row>
    <row r="38" spans="1:7" ht="15.5" x14ac:dyDescent="0.35">
      <c r="A38" s="133" t="s">
        <v>429</v>
      </c>
      <c r="B38" s="132">
        <f>B37/B34</f>
        <v>0.19348268839103869</v>
      </c>
      <c r="C38" s="83"/>
      <c r="D38" s="128" t="s">
        <v>432</v>
      </c>
      <c r="E38" s="129"/>
      <c r="F38" s="129"/>
      <c r="G38" s="137">
        <f>SUM(G31:G35)/22</f>
        <v>1.8696222895622894</v>
      </c>
    </row>
    <row r="40" spans="1:7" ht="15.5" x14ac:dyDescent="0.35">
      <c r="A40" s="246" t="s">
        <v>439</v>
      </c>
      <c r="B40" s="246"/>
      <c r="C40" s="246"/>
      <c r="D40" s="246"/>
      <c r="E40" s="246"/>
      <c r="F40" s="246"/>
      <c r="G40" s="246"/>
    </row>
    <row r="41" spans="1:7" ht="14.5" x14ac:dyDescent="0.35">
      <c r="A41" s="242" t="s">
        <v>421</v>
      </c>
      <c r="B41" s="243"/>
      <c r="C41" s="15"/>
      <c r="D41" s="134" t="s">
        <v>430</v>
      </c>
      <c r="E41" s="135" t="s">
        <v>170</v>
      </c>
      <c r="F41" s="135" t="s">
        <v>2</v>
      </c>
      <c r="G41" s="135" t="s">
        <v>4</v>
      </c>
    </row>
    <row r="42" spans="1:7" ht="15.5" x14ac:dyDescent="0.35">
      <c r="A42" s="128" t="s">
        <v>422</v>
      </c>
      <c r="B42" s="129">
        <v>11.066000000000001</v>
      </c>
      <c r="C42" s="8"/>
      <c r="D42" s="128" t="s">
        <v>431</v>
      </c>
      <c r="E42" s="136">
        <v>29</v>
      </c>
      <c r="F42" s="137">
        <f>B47*0.18</f>
        <v>1.5092321538461539</v>
      </c>
      <c r="G42" s="137">
        <f>E42*F42</f>
        <v>43.767732461538465</v>
      </c>
    </row>
    <row r="43" spans="1:7" ht="14.5" x14ac:dyDescent="0.35">
      <c r="A43" s="128" t="s">
        <v>423</v>
      </c>
      <c r="B43" s="130">
        <v>3.94</v>
      </c>
      <c r="C43" s="15"/>
      <c r="D43" s="128" t="s">
        <v>328</v>
      </c>
      <c r="E43" s="136">
        <v>1</v>
      </c>
      <c r="F43" s="137">
        <f>F9</f>
        <v>0.87</v>
      </c>
      <c r="G43" s="137">
        <f>E43*F43</f>
        <v>0.87</v>
      </c>
    </row>
    <row r="44" spans="1:7" ht="14.5" x14ac:dyDescent="0.35">
      <c r="A44" s="131" t="s">
        <v>424</v>
      </c>
      <c r="B44" s="130">
        <f>B42*B43</f>
        <v>43.60004</v>
      </c>
      <c r="C44" s="15"/>
      <c r="D44" s="128" t="s">
        <v>139</v>
      </c>
      <c r="E44" s="136">
        <f>E42*E43</f>
        <v>29</v>
      </c>
      <c r="F44" s="137">
        <f>F10</f>
        <v>7.0000000000000007E-2</v>
      </c>
      <c r="G44" s="137">
        <f>E44*F44</f>
        <v>2.0300000000000002</v>
      </c>
    </row>
    <row r="45" spans="1:7" ht="14.5" x14ac:dyDescent="0.35">
      <c r="A45" s="128" t="s">
        <v>425</v>
      </c>
      <c r="B45" s="129">
        <v>5.7240000000000002</v>
      </c>
      <c r="C45" s="15"/>
      <c r="D45" s="128" t="s">
        <v>67</v>
      </c>
      <c r="E45" s="136">
        <v>29</v>
      </c>
      <c r="F45" s="137">
        <f>F11</f>
        <v>0.01</v>
      </c>
      <c r="G45" s="137">
        <f>E45*F45</f>
        <v>0.28999999999999998</v>
      </c>
    </row>
    <row r="46" spans="1:7" ht="14.5" x14ac:dyDescent="0.35">
      <c r="A46" s="128" t="s">
        <v>426</v>
      </c>
      <c r="B46" s="132">
        <f>B45/B42</f>
        <v>0.51726007590818723</v>
      </c>
      <c r="C46" s="15"/>
      <c r="D46" s="128" t="s">
        <v>140</v>
      </c>
      <c r="E46" s="136">
        <v>54</v>
      </c>
      <c r="F46" s="137">
        <v>20</v>
      </c>
      <c r="G46" s="137">
        <f>F46/E46</f>
        <v>0.37037037037037035</v>
      </c>
    </row>
    <row r="47" spans="1:7" ht="14.5" x14ac:dyDescent="0.35">
      <c r="A47" s="131" t="s">
        <v>427</v>
      </c>
      <c r="B47" s="130">
        <f>B44/(B45-B48)</f>
        <v>8.3846230769230772</v>
      </c>
      <c r="C47" s="15"/>
      <c r="D47" s="131"/>
      <c r="E47" s="130"/>
      <c r="F47" s="130"/>
      <c r="G47" s="130"/>
    </row>
    <row r="48" spans="1:7" ht="14.5" x14ac:dyDescent="0.35">
      <c r="A48" s="128" t="s">
        <v>428</v>
      </c>
      <c r="B48" s="129">
        <v>0.52400000000000002</v>
      </c>
      <c r="C48" s="15"/>
      <c r="D48" s="128"/>
      <c r="E48" s="129"/>
      <c r="F48" s="129"/>
      <c r="G48" s="129"/>
    </row>
    <row r="49" spans="1:7" ht="15.5" x14ac:dyDescent="0.35">
      <c r="A49" s="133" t="s">
        <v>429</v>
      </c>
      <c r="B49" s="132">
        <f>B48/B45</f>
        <v>9.1544374563242492E-2</v>
      </c>
      <c r="C49" s="83"/>
      <c r="D49" s="128" t="s">
        <v>432</v>
      </c>
      <c r="E49" s="129"/>
      <c r="F49" s="129"/>
      <c r="G49" s="137">
        <f>SUM(G42:G46)/29</f>
        <v>1.632003545927891</v>
      </c>
    </row>
    <row r="51" spans="1:7" x14ac:dyDescent="0.25">
      <c r="A51" s="33" t="s">
        <v>442</v>
      </c>
      <c r="B51" s="118">
        <f>(B13+B24+B36+B47)/4</f>
        <v>8.5855347591297591</v>
      </c>
      <c r="D51" s="33" t="s">
        <v>442</v>
      </c>
      <c r="G51" s="118">
        <f>(G15+G26+G38+G49)/4</f>
        <v>1.6766830440577301</v>
      </c>
    </row>
    <row r="52" spans="1:7" ht="15.5" x14ac:dyDescent="0.35">
      <c r="A52" s="244"/>
      <c r="B52" s="244"/>
      <c r="C52" s="244"/>
      <c r="D52" s="244"/>
      <c r="E52" s="244"/>
      <c r="F52" s="244"/>
      <c r="G52" s="244"/>
    </row>
    <row r="53" spans="1:7" ht="14.5" x14ac:dyDescent="0.35">
      <c r="A53" s="245"/>
      <c r="B53" s="245"/>
      <c r="C53" s="104"/>
      <c r="D53" s="146"/>
      <c r="E53" s="146"/>
      <c r="F53" s="146"/>
      <c r="G53" s="146"/>
    </row>
    <row r="54" spans="1:7" ht="15.5" x14ac:dyDescent="0.35">
      <c r="A54" s="138"/>
      <c r="B54" s="139"/>
      <c r="C54" s="147"/>
      <c r="D54" s="138"/>
      <c r="E54" s="140"/>
      <c r="F54" s="141"/>
      <c r="G54" s="141"/>
    </row>
    <row r="55" spans="1:7" ht="14.5" x14ac:dyDescent="0.35">
      <c r="A55" s="138"/>
      <c r="B55" s="142"/>
      <c r="C55" s="104"/>
      <c r="D55" s="138"/>
      <c r="E55" s="140"/>
      <c r="F55" s="141"/>
      <c r="G55" s="141"/>
    </row>
    <row r="56" spans="1:7" ht="14.5" x14ac:dyDescent="0.35">
      <c r="A56" s="143"/>
      <c r="B56" s="142"/>
      <c r="C56" s="104"/>
      <c r="D56" s="138"/>
      <c r="E56" s="140"/>
      <c r="F56" s="141"/>
      <c r="G56" s="141"/>
    </row>
    <row r="57" spans="1:7" ht="14.5" x14ac:dyDescent="0.35">
      <c r="A57" s="138"/>
      <c r="B57" s="139"/>
      <c r="C57" s="104"/>
      <c r="D57" s="138"/>
      <c r="E57" s="140"/>
      <c r="F57" s="141"/>
      <c r="G57" s="141"/>
    </row>
    <row r="58" spans="1:7" ht="14.5" x14ac:dyDescent="0.35">
      <c r="A58" s="138"/>
      <c r="B58" s="144"/>
      <c r="C58" s="104"/>
      <c r="D58" s="138"/>
      <c r="E58" s="140"/>
      <c r="F58" s="141"/>
      <c r="G58" s="141"/>
    </row>
    <row r="59" spans="1:7" ht="14.5" x14ac:dyDescent="0.35">
      <c r="A59" s="143"/>
      <c r="B59" s="142"/>
      <c r="C59" s="104"/>
      <c r="D59" s="143"/>
      <c r="E59" s="142"/>
      <c r="F59" s="142"/>
      <c r="G59" s="142"/>
    </row>
    <row r="60" spans="1:7" ht="14.5" x14ac:dyDescent="0.35">
      <c r="A60" s="138"/>
      <c r="B60" s="139"/>
      <c r="C60" s="104"/>
      <c r="D60" s="138"/>
      <c r="E60" s="139"/>
      <c r="F60" s="139"/>
      <c r="G60" s="139"/>
    </row>
    <row r="61" spans="1:7" ht="15.5" x14ac:dyDescent="0.35">
      <c r="A61" s="145"/>
      <c r="B61" s="144"/>
      <c r="C61" s="148"/>
      <c r="D61" s="138"/>
      <c r="E61" s="139"/>
      <c r="F61" s="139"/>
      <c r="G61" s="141"/>
    </row>
  </sheetData>
  <mergeCells count="13">
    <mergeCell ref="A1:Q1"/>
    <mergeCell ref="A2:Q2"/>
    <mergeCell ref="A3:E3"/>
    <mergeCell ref="A7:B7"/>
    <mergeCell ref="A6:G6"/>
    <mergeCell ref="A41:B41"/>
    <mergeCell ref="A52:G52"/>
    <mergeCell ref="A53:B53"/>
    <mergeCell ref="A17:G17"/>
    <mergeCell ref="A18:B18"/>
    <mergeCell ref="A29:G29"/>
    <mergeCell ref="A30:B30"/>
    <mergeCell ref="A40:G40"/>
  </mergeCells>
  <pageMargins left="0.7" right="0.7" top="0.75" bottom="0.75" header="0.3" footer="0.3"/>
  <pageSetup paperSize="9" scale="95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3"/>
  <sheetViews>
    <sheetView topLeftCell="A13" workbookViewId="0">
      <selection activeCell="F33" sqref="F33"/>
    </sheetView>
  </sheetViews>
  <sheetFormatPr defaultRowHeight="12.5" x14ac:dyDescent="0.25"/>
  <cols>
    <col min="1" max="1" width="19.1796875" customWidth="1"/>
    <col min="5" max="5" width="11.453125" customWidth="1"/>
    <col min="6" max="6" width="19.1796875" customWidth="1"/>
    <col min="11" max="11" width="18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257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26.25" customHeight="1" x14ac:dyDescent="0.35">
      <c r="A16" s="7" t="s">
        <v>3</v>
      </c>
      <c r="B16" s="7" t="s">
        <v>261</v>
      </c>
      <c r="C16" s="15"/>
      <c r="D16" s="20"/>
      <c r="E16" s="13"/>
      <c r="F16" s="7" t="s">
        <v>3</v>
      </c>
      <c r="G16" s="250" t="s">
        <v>259</v>
      </c>
      <c r="H16" s="250"/>
      <c r="I16" s="250"/>
      <c r="J16" s="22"/>
      <c r="K16" s="7" t="s">
        <v>3</v>
      </c>
      <c r="L16" s="7" t="s">
        <v>263</v>
      </c>
      <c r="M16" s="15"/>
      <c r="N16" s="20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13"/>
      <c r="K17" s="6"/>
      <c r="L17" s="7" t="s">
        <v>1</v>
      </c>
      <c r="M17" s="8" t="s">
        <v>2</v>
      </c>
      <c r="N17" s="9" t="s">
        <v>4</v>
      </c>
      <c r="O17" s="13"/>
      <c r="P17" s="13"/>
      <c r="Q17" s="13"/>
    </row>
    <row r="18" spans="1:17" ht="15.5" x14ac:dyDescent="0.35">
      <c r="A18" s="6" t="s">
        <v>45</v>
      </c>
      <c r="B18" s="28">
        <v>0.45400000000000001</v>
      </c>
      <c r="C18" s="10">
        <f>'Ingredient Cost'!D56</f>
        <v>61.36</v>
      </c>
      <c r="D18" s="11">
        <f>B18*C18</f>
        <v>27.85744</v>
      </c>
      <c r="E18" s="13"/>
      <c r="F18" s="6" t="s">
        <v>249</v>
      </c>
      <c r="G18" s="28">
        <v>1</v>
      </c>
      <c r="H18" s="10">
        <f>D26</f>
        <v>28.174939999999999</v>
      </c>
      <c r="I18" s="11">
        <f>G18*H18</f>
        <v>28.174939999999999</v>
      </c>
      <c r="J18" s="13"/>
      <c r="K18" s="6" t="s">
        <v>249</v>
      </c>
      <c r="L18" s="28">
        <v>6</v>
      </c>
      <c r="M18" s="10">
        <f>I26</f>
        <v>28.409939999999999</v>
      </c>
      <c r="N18" s="11">
        <f>L18*M18</f>
        <v>170.45963999999998</v>
      </c>
      <c r="O18" s="13"/>
      <c r="P18" s="13"/>
      <c r="Q18" s="13"/>
    </row>
    <row r="19" spans="1:17" ht="15.5" x14ac:dyDescent="0.35">
      <c r="A19" s="6" t="s">
        <v>258</v>
      </c>
      <c r="B19" s="28">
        <v>0.03</v>
      </c>
      <c r="C19" s="10">
        <f>'Ingredient Cost'!D78</f>
        <v>2.25</v>
      </c>
      <c r="D19" s="11">
        <f>B19*C19</f>
        <v>6.7500000000000004E-2</v>
      </c>
      <c r="E19" s="13"/>
      <c r="F19" s="6" t="s">
        <v>139</v>
      </c>
      <c r="G19" s="28">
        <v>1</v>
      </c>
      <c r="H19" s="10">
        <f>'Ingredient Cost'!D88</f>
        <v>0.09</v>
      </c>
      <c r="I19" s="11">
        <f>G19*H19</f>
        <v>0.09</v>
      </c>
      <c r="J19" s="13"/>
      <c r="K19" s="6" t="s">
        <v>66</v>
      </c>
      <c r="L19" s="28">
        <v>1</v>
      </c>
      <c r="M19" s="10">
        <f>'Ingredient Cost'!D108</f>
        <v>0.2</v>
      </c>
      <c r="N19" s="10">
        <f>L19*M19</f>
        <v>0.2</v>
      </c>
      <c r="O19" s="13"/>
      <c r="P19" s="13"/>
      <c r="Q19" s="13"/>
    </row>
    <row r="20" spans="1:17" ht="15.5" x14ac:dyDescent="0.35">
      <c r="A20" s="6"/>
      <c r="B20" s="28"/>
      <c r="C20" s="10"/>
      <c r="D20" s="11"/>
      <c r="E20" s="13"/>
      <c r="F20" s="6" t="s">
        <v>260</v>
      </c>
      <c r="G20" s="28">
        <v>1</v>
      </c>
      <c r="H20" s="10">
        <v>0.02</v>
      </c>
      <c r="I20" s="11">
        <f>H20/G20</f>
        <v>0.02</v>
      </c>
      <c r="J20" s="13"/>
      <c r="K20" s="7" t="s">
        <v>67</v>
      </c>
      <c r="L20" s="28"/>
      <c r="M20" s="10">
        <v>0.01</v>
      </c>
      <c r="N20" s="10">
        <f>M20</f>
        <v>0.01</v>
      </c>
      <c r="O20" s="13"/>
      <c r="P20" s="13"/>
      <c r="Q20" s="13"/>
    </row>
    <row r="21" spans="1:17" ht="15.5" x14ac:dyDescent="0.35">
      <c r="A21" s="6"/>
      <c r="B21" s="28"/>
      <c r="C21" s="10"/>
      <c r="D21" s="11"/>
      <c r="E21" s="13"/>
      <c r="F21" s="6" t="s">
        <v>140</v>
      </c>
      <c r="G21" s="28">
        <v>120</v>
      </c>
      <c r="H21" s="10">
        <v>15</v>
      </c>
      <c r="I21" s="11">
        <f>H21/G21</f>
        <v>0.125</v>
      </c>
      <c r="J21" s="13"/>
      <c r="K21" s="7" t="s">
        <v>140</v>
      </c>
      <c r="L21" s="28">
        <v>20</v>
      </c>
      <c r="M21" s="10">
        <v>15</v>
      </c>
      <c r="N21" s="10">
        <f>M21/L21</f>
        <v>0.75</v>
      </c>
      <c r="O21" s="13"/>
      <c r="P21" s="13"/>
      <c r="Q21" s="13"/>
    </row>
    <row r="22" spans="1:17" ht="15.5" x14ac:dyDescent="0.35">
      <c r="A22" s="6" t="s">
        <v>140</v>
      </c>
      <c r="B22" s="28">
        <v>60</v>
      </c>
      <c r="C22" s="10">
        <v>15</v>
      </c>
      <c r="D22" s="10">
        <f>C22/B22</f>
        <v>0.25</v>
      </c>
      <c r="E22" s="13"/>
      <c r="F22" s="6"/>
      <c r="G22" s="28"/>
      <c r="H22" s="10"/>
      <c r="I22" s="10"/>
      <c r="J22" s="13"/>
      <c r="K22" s="7"/>
      <c r="L22" s="28"/>
      <c r="M22" s="10"/>
      <c r="N22" s="10"/>
      <c r="O22" s="13"/>
      <c r="P22" s="13"/>
      <c r="Q22" s="13"/>
    </row>
    <row r="23" spans="1:17" ht="15.5" x14ac:dyDescent="0.35">
      <c r="A23" s="7"/>
      <c r="B23" s="12"/>
      <c r="C23" s="10"/>
      <c r="D23" s="10"/>
      <c r="E23" s="13"/>
      <c r="F23" s="7"/>
      <c r="G23" s="12"/>
      <c r="H23" s="10"/>
      <c r="I23" s="10"/>
      <c r="J23" s="13"/>
      <c r="K23" s="7"/>
      <c r="L23" s="12"/>
      <c r="M23" s="10"/>
      <c r="N23" s="10"/>
      <c r="O23" s="13"/>
      <c r="P23" s="13"/>
      <c r="Q23" s="13"/>
    </row>
    <row r="24" spans="1:17" ht="15.5" x14ac:dyDescent="0.35">
      <c r="A24" s="6"/>
      <c r="B24" s="12"/>
      <c r="C24" s="10"/>
      <c r="D24" s="10"/>
      <c r="E24" s="13"/>
      <c r="F24" s="6"/>
      <c r="G24" s="12"/>
      <c r="H24" s="10"/>
      <c r="I24" s="10"/>
      <c r="J24" s="13"/>
      <c r="K24" s="6"/>
      <c r="L24" s="12"/>
      <c r="M24" s="10"/>
      <c r="N24" s="10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5"/>
      <c r="I25" s="14"/>
      <c r="J25" s="13"/>
      <c r="K25" s="13"/>
      <c r="L25" s="13"/>
      <c r="M25" s="15"/>
      <c r="N25" s="14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28.174939999999999</v>
      </c>
      <c r="E26" s="13"/>
      <c r="F26" s="6" t="s">
        <v>0</v>
      </c>
      <c r="G26" s="13"/>
      <c r="H26" s="15"/>
      <c r="I26" s="19">
        <f>SUM(I18:I22)</f>
        <v>28.409939999999999</v>
      </c>
      <c r="J26" s="13"/>
      <c r="K26" s="6" t="s">
        <v>0</v>
      </c>
      <c r="L26" s="13"/>
      <c r="M26" s="15"/>
      <c r="N26" s="19">
        <f>SUM(N18:N22)</f>
        <v>171.41963999999996</v>
      </c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6"/>
      <c r="G27" s="13"/>
      <c r="H27" s="15"/>
      <c r="I27" s="19"/>
      <c r="J27" s="22"/>
      <c r="K27" s="6" t="s">
        <v>182</v>
      </c>
      <c r="L27" s="13"/>
      <c r="M27" s="15"/>
      <c r="N27" s="19">
        <f>N26/6</f>
        <v>28.569939999999992</v>
      </c>
      <c r="O27" s="13"/>
      <c r="P27" s="13"/>
      <c r="Q27" s="13"/>
    </row>
    <row r="28" spans="1:17" ht="21" customHeight="1" x14ac:dyDescent="0.35">
      <c r="A28" s="7"/>
      <c r="B28" s="250"/>
      <c r="C28" s="250"/>
      <c r="D28" s="250"/>
      <c r="F28" s="99"/>
      <c r="G28" s="22"/>
      <c r="H28" s="22"/>
      <c r="I28" s="98"/>
      <c r="K28" s="99"/>
      <c r="L28" s="22"/>
      <c r="M28" s="22"/>
      <c r="N28" s="98"/>
    </row>
    <row r="29" spans="1:17" ht="21" customHeight="1" x14ac:dyDescent="0.35">
      <c r="A29" s="7"/>
      <c r="B29" s="83"/>
      <c r="C29" s="83"/>
      <c r="D29" s="83"/>
      <c r="F29" s="100"/>
      <c r="G29" s="22"/>
      <c r="H29" s="22"/>
      <c r="I29" s="98"/>
    </row>
    <row r="30" spans="1:17" ht="24.75" customHeight="1" x14ac:dyDescent="0.35">
      <c r="A30" s="7" t="s">
        <v>3</v>
      </c>
      <c r="B30" s="7" t="s">
        <v>262</v>
      </c>
      <c r="C30" s="15"/>
      <c r="D30" s="20"/>
      <c r="E30" s="13"/>
      <c r="F30" s="7" t="s">
        <v>3</v>
      </c>
      <c r="G30" s="7" t="s">
        <v>373</v>
      </c>
      <c r="H30" s="15"/>
      <c r="I30" s="20"/>
      <c r="J30" s="13"/>
      <c r="K30" s="7"/>
      <c r="L30" s="250"/>
      <c r="M30" s="250"/>
      <c r="N30" s="250"/>
    </row>
    <row r="31" spans="1:17" ht="15.5" x14ac:dyDescent="0.35">
      <c r="A31" s="6"/>
      <c r="B31" s="7" t="s">
        <v>1</v>
      </c>
      <c r="C31" s="8" t="s">
        <v>2</v>
      </c>
      <c r="D31" s="9" t="s">
        <v>4</v>
      </c>
      <c r="E31" s="13"/>
      <c r="F31" s="6"/>
      <c r="G31" s="7" t="s">
        <v>1</v>
      </c>
      <c r="H31" s="8" t="s">
        <v>2</v>
      </c>
      <c r="I31" s="9" t="s">
        <v>4</v>
      </c>
      <c r="J31" s="13"/>
      <c r="K31" s="6"/>
      <c r="L31" s="7"/>
      <c r="M31" s="8"/>
      <c r="N31" s="9"/>
    </row>
    <row r="32" spans="1:17" ht="15.5" x14ac:dyDescent="0.35">
      <c r="A32" s="6" t="s">
        <v>45</v>
      </c>
      <c r="B32" s="28">
        <v>2.7240000000000002</v>
      </c>
      <c r="C32" s="10">
        <f>'Ingredient Cost'!D56</f>
        <v>61.36</v>
      </c>
      <c r="D32" s="11">
        <f>B32*C32</f>
        <v>167.14464000000001</v>
      </c>
      <c r="E32" s="13"/>
      <c r="F32" s="6" t="s">
        <v>249</v>
      </c>
      <c r="G32" s="28">
        <v>1.56</v>
      </c>
      <c r="H32" s="10">
        <f>D40</f>
        <v>61.561384518565134</v>
      </c>
      <c r="I32" s="11">
        <f>G32*H32</f>
        <v>96.035759848961618</v>
      </c>
      <c r="J32" s="13"/>
      <c r="K32" s="6"/>
      <c r="L32" s="28"/>
      <c r="M32" s="10"/>
      <c r="N32" s="11"/>
    </row>
    <row r="33" spans="1:14" ht="15.5" x14ac:dyDescent="0.35">
      <c r="A33" s="6" t="s">
        <v>264</v>
      </c>
      <c r="B33" s="28">
        <v>1</v>
      </c>
      <c r="C33" s="10">
        <f>'Ingredient Cost'!D86</f>
        <v>0.12</v>
      </c>
      <c r="D33" s="11">
        <f>B33*C33</f>
        <v>0.12</v>
      </c>
      <c r="E33" s="13"/>
      <c r="F33" s="6" t="s">
        <v>295</v>
      </c>
      <c r="G33" s="28">
        <v>12</v>
      </c>
      <c r="H33" s="10">
        <f>'Ingredient Cost'!D105</f>
        <v>7.0000000000000007E-2</v>
      </c>
      <c r="I33" s="11">
        <f>G33*H33</f>
        <v>0.84000000000000008</v>
      </c>
      <c r="J33" s="13"/>
      <c r="K33" s="6"/>
      <c r="L33" s="28"/>
      <c r="M33" s="10"/>
      <c r="N33" s="11"/>
    </row>
    <row r="34" spans="1:14" ht="15.5" x14ac:dyDescent="0.35">
      <c r="A34" s="6"/>
      <c r="B34" s="28"/>
      <c r="C34" s="10"/>
      <c r="D34" s="11"/>
      <c r="E34" s="13"/>
      <c r="F34" s="6" t="s">
        <v>67</v>
      </c>
      <c r="G34" s="28">
        <v>12</v>
      </c>
      <c r="H34" s="10">
        <v>0.01</v>
      </c>
      <c r="I34" s="11">
        <f>G34*H34</f>
        <v>0.12</v>
      </c>
      <c r="J34" s="13"/>
      <c r="K34" s="6"/>
      <c r="L34" s="28"/>
      <c r="M34" s="10"/>
      <c r="N34" s="10"/>
    </row>
    <row r="35" spans="1:14" ht="15.5" x14ac:dyDescent="0.35">
      <c r="A35" s="6" t="s">
        <v>140</v>
      </c>
      <c r="B35" s="28">
        <v>35</v>
      </c>
      <c r="C35" s="10">
        <v>15</v>
      </c>
      <c r="D35" s="10">
        <f>C35/B35</f>
        <v>0.42857142857142855</v>
      </c>
      <c r="E35" s="13"/>
      <c r="F35" s="6" t="s">
        <v>140</v>
      </c>
      <c r="G35" s="28">
        <v>90</v>
      </c>
      <c r="H35" s="10">
        <v>15</v>
      </c>
      <c r="I35" s="10">
        <f>H35/G35</f>
        <v>0.16666666666666666</v>
      </c>
      <c r="J35" s="13"/>
      <c r="K35" s="7"/>
      <c r="L35" s="28"/>
      <c r="M35" s="10"/>
      <c r="N35" s="10"/>
    </row>
    <row r="36" spans="1:14" ht="15.5" x14ac:dyDescent="0.35">
      <c r="A36" s="7"/>
      <c r="B36" s="12"/>
      <c r="C36" s="10"/>
      <c r="D36" s="10"/>
      <c r="E36" s="13"/>
      <c r="F36" s="7" t="s">
        <v>66</v>
      </c>
      <c r="G36" s="28">
        <v>1</v>
      </c>
      <c r="H36" s="10">
        <f>'Ingredient Cost'!D108</f>
        <v>0.2</v>
      </c>
      <c r="I36" s="10">
        <f t="shared" ref="I36:I37" si="0">H36/G36</f>
        <v>0.2</v>
      </c>
      <c r="J36" s="13"/>
      <c r="K36" s="7"/>
      <c r="L36" s="28"/>
      <c r="M36" s="10"/>
      <c r="N36" s="10"/>
    </row>
    <row r="37" spans="1:14" ht="15.5" x14ac:dyDescent="0.35">
      <c r="A37" s="7"/>
      <c r="B37" s="12"/>
      <c r="C37" s="10"/>
      <c r="D37" s="10"/>
      <c r="E37" s="13"/>
      <c r="F37" s="7" t="s">
        <v>372</v>
      </c>
      <c r="G37" s="28">
        <v>1</v>
      </c>
      <c r="H37" s="10">
        <v>0.01</v>
      </c>
      <c r="I37" s="10">
        <f t="shared" si="0"/>
        <v>0.01</v>
      </c>
      <c r="J37" s="13"/>
      <c r="K37" s="7"/>
      <c r="L37" s="28"/>
      <c r="M37" s="10"/>
      <c r="N37" s="10"/>
    </row>
    <row r="38" spans="1:14" ht="13" x14ac:dyDescent="0.3">
      <c r="A38" s="13"/>
      <c r="B38" s="13"/>
      <c r="C38" s="15"/>
      <c r="D38" s="14"/>
      <c r="E38" s="13"/>
      <c r="F38" s="13"/>
      <c r="G38" s="13"/>
      <c r="H38" s="15"/>
      <c r="I38" s="14"/>
      <c r="J38" s="13"/>
      <c r="K38" s="13"/>
      <c r="L38" s="13"/>
      <c r="M38" s="15"/>
      <c r="N38" s="14"/>
    </row>
    <row r="39" spans="1:14" ht="15.5" x14ac:dyDescent="0.35">
      <c r="A39" s="6" t="s">
        <v>0</v>
      </c>
      <c r="B39" s="13"/>
      <c r="C39" s="15"/>
      <c r="D39" s="19">
        <f>SUM(D32:D35)</f>
        <v>167.69321142857143</v>
      </c>
      <c r="E39" s="13"/>
      <c r="F39" s="6" t="s">
        <v>374</v>
      </c>
      <c r="G39" s="13"/>
      <c r="H39" s="15"/>
      <c r="I39" s="19">
        <f>SUM(I32:I35)</f>
        <v>97.162426515628297</v>
      </c>
      <c r="J39" s="13"/>
      <c r="K39" s="6"/>
      <c r="L39" s="13"/>
      <c r="M39" s="15"/>
      <c r="N39" s="19"/>
    </row>
    <row r="40" spans="1:14" ht="15.5" x14ac:dyDescent="0.35">
      <c r="A40" s="92" t="s">
        <v>294</v>
      </c>
      <c r="B40" s="94"/>
      <c r="C40" s="95"/>
      <c r="D40" s="97">
        <f>D39/B32</f>
        <v>61.561384518565134</v>
      </c>
      <c r="E40" s="13"/>
      <c r="F40" s="92" t="s">
        <v>294</v>
      </c>
      <c r="G40" s="94"/>
      <c r="H40" s="95"/>
      <c r="I40" s="97">
        <f>I39/G32</f>
        <v>62.28360674078737</v>
      </c>
      <c r="J40" s="13"/>
      <c r="K40" s="7"/>
      <c r="L40" s="13"/>
      <c r="M40" s="15"/>
      <c r="N40" s="20"/>
    </row>
    <row r="41" spans="1:14" ht="15.5" x14ac:dyDescent="0.35">
      <c r="A41" s="92"/>
      <c r="B41" s="92"/>
      <c r="C41" s="92"/>
      <c r="D41" s="93"/>
      <c r="F41" s="92"/>
      <c r="G41" s="92"/>
      <c r="H41" s="92"/>
      <c r="I41" s="93"/>
    </row>
    <row r="43" spans="1:14" ht="15.5" x14ac:dyDescent="0.35">
      <c r="A43" s="7"/>
    </row>
  </sheetData>
  <mergeCells count="7">
    <mergeCell ref="L30:N30"/>
    <mergeCell ref="B28:D28"/>
    <mergeCell ref="A1:Q1"/>
    <mergeCell ref="A2:Q2"/>
    <mergeCell ref="A3:E3"/>
    <mergeCell ref="B4:H14"/>
    <mergeCell ref="G16:I16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workbookViewId="0">
      <selection activeCell="A11" sqref="A11"/>
    </sheetView>
  </sheetViews>
  <sheetFormatPr defaultRowHeight="12.5" x14ac:dyDescent="0.25"/>
  <cols>
    <col min="1" max="1" width="19.1796875" customWidth="1"/>
    <col min="5" max="5" width="11.453125" customWidth="1"/>
    <col min="6" max="6" width="19.1796875" customWidth="1"/>
    <col min="11" max="11" width="18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381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15.5" x14ac:dyDescent="0.35">
      <c r="A3" s="7"/>
      <c r="B3" s="13"/>
      <c r="C3" s="15"/>
      <c r="D3" s="20"/>
      <c r="E3" s="13"/>
      <c r="F3" s="21"/>
      <c r="G3" s="22"/>
      <c r="H3" s="22"/>
      <c r="I3" s="22"/>
      <c r="J3" s="22"/>
      <c r="K3" s="22"/>
      <c r="L3" s="23"/>
      <c r="M3" s="13"/>
      <c r="N3" s="13"/>
      <c r="O3" s="13"/>
      <c r="P3" s="13"/>
      <c r="Q3" s="13"/>
    </row>
    <row r="4" spans="1:17" ht="26.25" customHeight="1" x14ac:dyDescent="0.35">
      <c r="A4" s="7" t="s">
        <v>3</v>
      </c>
      <c r="B4" s="7"/>
      <c r="C4" s="15"/>
      <c r="D4" s="20"/>
      <c r="E4" s="13"/>
      <c r="F4" s="7" t="s">
        <v>3</v>
      </c>
      <c r="G4" s="7" t="s">
        <v>253</v>
      </c>
      <c r="H4" s="15"/>
      <c r="I4" s="20"/>
      <c r="J4" s="22"/>
      <c r="K4" s="7"/>
      <c r="L4" s="7"/>
      <c r="M4" s="15"/>
      <c r="N4" s="20"/>
      <c r="O4" s="13"/>
      <c r="P4" s="13"/>
      <c r="Q4" s="13"/>
    </row>
    <row r="5" spans="1:17" ht="15.5" x14ac:dyDescent="0.35">
      <c r="A5" s="6"/>
      <c r="B5" s="7" t="s">
        <v>1</v>
      </c>
      <c r="C5" s="8" t="s">
        <v>2</v>
      </c>
      <c r="D5" s="9" t="s">
        <v>4</v>
      </c>
      <c r="E5" s="13"/>
      <c r="F5" s="6"/>
      <c r="G5" s="7" t="s">
        <v>1</v>
      </c>
      <c r="H5" s="8" t="s">
        <v>2</v>
      </c>
      <c r="I5" s="9" t="s">
        <v>4</v>
      </c>
      <c r="J5" s="13"/>
      <c r="K5" s="6"/>
      <c r="L5" s="7"/>
      <c r="M5" s="8"/>
      <c r="N5" s="9"/>
      <c r="O5" s="13"/>
      <c r="P5" s="13"/>
      <c r="Q5" s="13"/>
    </row>
    <row r="6" spans="1:17" ht="46.5" x14ac:dyDescent="0.35">
      <c r="A6" s="103" t="s">
        <v>382</v>
      </c>
      <c r="B6" s="102">
        <v>0.34</v>
      </c>
      <c r="C6" s="10"/>
      <c r="D6" s="11"/>
      <c r="E6" s="13"/>
      <c r="F6" s="103" t="s">
        <v>376</v>
      </c>
      <c r="G6" s="28">
        <v>6</v>
      </c>
      <c r="H6" s="10">
        <f>D14</f>
        <v>0</v>
      </c>
      <c r="I6" s="11">
        <f>G6*H6</f>
        <v>0</v>
      </c>
      <c r="J6" s="13"/>
      <c r="K6" s="6"/>
      <c r="L6" s="12"/>
      <c r="M6" s="10"/>
      <c r="N6" s="11"/>
      <c r="O6" s="13"/>
      <c r="P6" s="13"/>
      <c r="Q6" s="13"/>
    </row>
    <row r="7" spans="1:17" ht="31" x14ac:dyDescent="0.35">
      <c r="A7" s="103" t="s">
        <v>383</v>
      </c>
      <c r="B7" s="102">
        <v>1</v>
      </c>
      <c r="C7" s="10"/>
      <c r="D7" s="11"/>
      <c r="E7" s="13"/>
      <c r="F7" s="6" t="s">
        <v>66</v>
      </c>
      <c r="G7" s="28">
        <v>1</v>
      </c>
      <c r="H7" s="10">
        <f>'Ingredient Cost'!D108</f>
        <v>0.2</v>
      </c>
      <c r="I7" s="11">
        <f>G7*H7</f>
        <v>0.2</v>
      </c>
      <c r="J7" s="13"/>
      <c r="K7" s="6"/>
      <c r="L7" s="12"/>
      <c r="M7" s="10"/>
      <c r="N7" s="10"/>
      <c r="O7" s="13"/>
      <c r="P7" s="13"/>
      <c r="Q7" s="13"/>
    </row>
    <row r="8" spans="1:17" ht="15.5" x14ac:dyDescent="0.35">
      <c r="A8" s="6" t="s">
        <v>3</v>
      </c>
      <c r="B8" s="102">
        <v>1</v>
      </c>
      <c r="C8" s="10"/>
      <c r="D8" s="11"/>
      <c r="E8" s="13"/>
      <c r="F8" s="6" t="s">
        <v>67</v>
      </c>
      <c r="G8" s="28">
        <v>1</v>
      </c>
      <c r="H8" s="10">
        <v>0.01</v>
      </c>
      <c r="I8" s="11">
        <f>H8/G8</f>
        <v>0.01</v>
      </c>
      <c r="J8" s="13"/>
      <c r="K8" s="7"/>
      <c r="L8" s="12"/>
      <c r="M8" s="10"/>
      <c r="N8" s="10"/>
      <c r="O8" s="13"/>
      <c r="P8" s="13"/>
      <c r="Q8" s="13"/>
    </row>
    <row r="9" spans="1:17" ht="15.5" x14ac:dyDescent="0.35">
      <c r="A9" s="6" t="s">
        <v>384</v>
      </c>
      <c r="B9" s="102">
        <v>120</v>
      </c>
      <c r="C9" s="10"/>
      <c r="D9" s="11"/>
      <c r="E9" s="13"/>
      <c r="F9" s="6" t="s">
        <v>140</v>
      </c>
      <c r="G9" s="28">
        <v>20</v>
      </c>
      <c r="H9" s="10">
        <v>15</v>
      </c>
      <c r="I9" s="11">
        <f>H9/G9</f>
        <v>0.75</v>
      </c>
      <c r="J9" s="13"/>
      <c r="K9" s="7"/>
      <c r="L9" s="12"/>
      <c r="M9" s="10"/>
      <c r="N9" s="10"/>
      <c r="O9" s="13"/>
      <c r="P9" s="13"/>
      <c r="Q9" s="13"/>
    </row>
    <row r="10" spans="1:17" ht="15.5" x14ac:dyDescent="0.35">
      <c r="A10" s="6" t="s">
        <v>385</v>
      </c>
      <c r="B10" s="102"/>
      <c r="C10" s="104"/>
      <c r="D10" s="105"/>
      <c r="E10" s="13"/>
      <c r="F10" s="6"/>
      <c r="G10" s="102"/>
      <c r="H10" s="104"/>
      <c r="I10" s="105"/>
      <c r="J10" s="13"/>
      <c r="K10" s="7"/>
      <c r="L10" s="12"/>
      <c r="M10" s="10"/>
      <c r="N10" s="10"/>
      <c r="O10" s="13"/>
      <c r="P10" s="13"/>
      <c r="Q10" s="13"/>
    </row>
    <row r="11" spans="1:17" ht="15.5" x14ac:dyDescent="0.35">
      <c r="A11" s="7"/>
      <c r="B11" s="12"/>
      <c r="C11" s="10"/>
      <c r="D11" s="10"/>
      <c r="E11" s="13"/>
      <c r="F11" s="7"/>
      <c r="G11" s="12"/>
      <c r="H11" s="10"/>
      <c r="I11" s="10"/>
      <c r="J11" s="13"/>
      <c r="K11" s="7"/>
      <c r="L11" s="12"/>
      <c r="M11" s="10"/>
      <c r="N11" s="10"/>
      <c r="O11" s="13"/>
      <c r="P11" s="13"/>
      <c r="Q11" s="13"/>
    </row>
    <row r="12" spans="1:17" ht="15.5" x14ac:dyDescent="0.35">
      <c r="A12" s="6"/>
      <c r="B12" s="12"/>
      <c r="C12" s="10"/>
      <c r="D12" s="10"/>
      <c r="E12" s="13"/>
      <c r="F12" s="6"/>
      <c r="G12" s="12"/>
      <c r="H12" s="10"/>
      <c r="I12" s="10"/>
      <c r="J12" s="13"/>
      <c r="K12" s="6"/>
      <c r="L12" s="12"/>
      <c r="M12" s="10"/>
      <c r="N12" s="10"/>
      <c r="O12" s="13"/>
      <c r="P12" s="13"/>
      <c r="Q12" s="13"/>
    </row>
    <row r="13" spans="1:17" ht="13" x14ac:dyDescent="0.3">
      <c r="A13" s="13"/>
      <c r="B13" s="13"/>
      <c r="C13" s="15"/>
      <c r="D13" s="14"/>
      <c r="E13" s="13"/>
      <c r="F13" s="13"/>
      <c r="G13" s="13"/>
      <c r="H13" s="15"/>
      <c r="I13" s="14"/>
      <c r="J13" s="13"/>
      <c r="K13" s="13"/>
      <c r="L13" s="13"/>
      <c r="M13" s="15"/>
      <c r="N13" s="14"/>
      <c r="O13" s="13"/>
      <c r="P13" s="13"/>
      <c r="Q13" s="13"/>
    </row>
    <row r="14" spans="1:17" ht="15.5" x14ac:dyDescent="0.35">
      <c r="A14" s="6" t="s">
        <v>371</v>
      </c>
      <c r="B14" s="13"/>
      <c r="C14" s="15"/>
      <c r="D14" s="19">
        <f>SUM(D6:D10)</f>
        <v>0</v>
      </c>
      <c r="E14" s="13"/>
      <c r="F14" s="6" t="s">
        <v>375</v>
      </c>
      <c r="G14" s="13"/>
      <c r="H14" s="15"/>
      <c r="I14" s="19">
        <f>SUM(I6:I10)</f>
        <v>0.96</v>
      </c>
      <c r="J14" s="13"/>
      <c r="K14" s="6"/>
      <c r="L14" s="13"/>
      <c r="M14" s="15"/>
      <c r="N14" s="19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6"/>
      <c r="G15" s="13"/>
      <c r="H15" s="15"/>
      <c r="I15" s="19"/>
      <c r="J15" s="22"/>
      <c r="K15" s="6"/>
      <c r="L15" s="13"/>
      <c r="M15" s="15"/>
      <c r="N15" s="19"/>
      <c r="O15" s="13"/>
      <c r="P15" s="13"/>
      <c r="Q15" s="13"/>
    </row>
    <row r="16" spans="1:17" ht="21" customHeight="1" x14ac:dyDescent="0.35">
      <c r="A16" s="7"/>
      <c r="B16" s="250"/>
      <c r="C16" s="250"/>
      <c r="D16" s="250"/>
      <c r="F16" s="99"/>
      <c r="G16" s="22"/>
      <c r="H16" s="22"/>
      <c r="I16" s="98"/>
      <c r="K16" s="99"/>
      <c r="L16" s="22"/>
      <c r="M16" s="22"/>
      <c r="N16" s="98"/>
    </row>
    <row r="17" spans="1:10" ht="21" customHeight="1" x14ac:dyDescent="0.35">
      <c r="A17" s="7"/>
      <c r="B17" s="83"/>
      <c r="C17" s="83"/>
      <c r="D17" s="83"/>
      <c r="F17" s="100"/>
      <c r="G17" s="22"/>
      <c r="H17" s="22"/>
      <c r="I17" s="98"/>
    </row>
    <row r="18" spans="1:10" ht="24.75" customHeight="1" x14ac:dyDescent="0.35">
      <c r="A18" s="7"/>
      <c r="B18" s="7"/>
      <c r="C18" s="15"/>
      <c r="D18" s="20"/>
      <c r="E18" s="13"/>
      <c r="F18" s="7"/>
      <c r="G18" s="3"/>
      <c r="H18" s="4"/>
      <c r="I18" s="4"/>
      <c r="J18" s="13"/>
    </row>
    <row r="19" spans="1:10" ht="15.5" x14ac:dyDescent="0.35">
      <c r="A19" s="6"/>
      <c r="B19" s="7"/>
      <c r="C19" s="8"/>
      <c r="D19" s="9"/>
      <c r="E19" s="13"/>
      <c r="F19" s="7"/>
      <c r="G19" s="13"/>
      <c r="H19" s="15"/>
      <c r="I19" s="74"/>
      <c r="J19" s="13"/>
    </row>
    <row r="20" spans="1:10" ht="15.5" x14ac:dyDescent="0.35">
      <c r="A20" s="6"/>
      <c r="B20" s="28"/>
      <c r="C20" s="10"/>
      <c r="D20" s="11"/>
      <c r="E20" s="13"/>
      <c r="F20" s="7"/>
      <c r="G20" s="13"/>
      <c r="H20" s="15"/>
      <c r="I20" s="74"/>
      <c r="J20" s="13"/>
    </row>
    <row r="21" spans="1:10" ht="15.5" x14ac:dyDescent="0.35">
      <c r="A21" s="6"/>
      <c r="B21" s="28"/>
      <c r="C21" s="10"/>
      <c r="D21" s="11"/>
      <c r="E21" s="13"/>
      <c r="F21" s="7"/>
      <c r="G21" s="13"/>
      <c r="H21" s="15"/>
      <c r="I21" s="15"/>
      <c r="J21" s="13"/>
    </row>
    <row r="22" spans="1:10" ht="15.5" x14ac:dyDescent="0.35">
      <c r="A22" s="6"/>
      <c r="B22" s="28"/>
      <c r="C22" s="10"/>
      <c r="D22" s="11"/>
      <c r="E22" s="13"/>
      <c r="F22" s="7"/>
      <c r="G22" s="13"/>
      <c r="H22" s="15"/>
      <c r="I22" s="15"/>
      <c r="J22" s="13"/>
    </row>
    <row r="23" spans="1:10" ht="15.5" x14ac:dyDescent="0.35">
      <c r="A23" s="6"/>
      <c r="B23" s="28"/>
      <c r="C23" s="10"/>
      <c r="D23" s="10"/>
      <c r="E23" s="13"/>
      <c r="F23" s="7"/>
      <c r="G23" s="13"/>
      <c r="H23" s="15"/>
      <c r="I23" s="15"/>
      <c r="J23" s="13"/>
    </row>
    <row r="24" spans="1:10" ht="15.5" x14ac:dyDescent="0.35">
      <c r="A24" s="7"/>
      <c r="B24" s="12"/>
      <c r="C24" s="10"/>
      <c r="D24" s="10"/>
      <c r="E24" s="13"/>
      <c r="F24" s="7"/>
      <c r="G24" s="13"/>
      <c r="H24" s="15"/>
      <c r="I24" s="15"/>
      <c r="J24" s="13"/>
    </row>
    <row r="25" spans="1:10" ht="15.5" x14ac:dyDescent="0.35">
      <c r="A25" s="6"/>
      <c r="B25" s="12"/>
      <c r="C25" s="10"/>
      <c r="D25" s="10"/>
      <c r="E25" s="13"/>
      <c r="F25" s="7"/>
      <c r="G25" s="13"/>
      <c r="H25" s="15"/>
      <c r="I25" s="15"/>
      <c r="J25" s="13"/>
    </row>
    <row r="26" spans="1:10" ht="15.5" x14ac:dyDescent="0.35">
      <c r="A26" s="13"/>
      <c r="B26" s="13"/>
      <c r="C26" s="15"/>
      <c r="D26" s="14"/>
      <c r="E26" s="13"/>
      <c r="F26" s="7"/>
      <c r="G26" s="13"/>
      <c r="H26" s="15"/>
      <c r="I26" s="15"/>
      <c r="J26" s="13"/>
    </row>
    <row r="27" spans="1:10" ht="15.5" x14ac:dyDescent="0.35">
      <c r="A27" s="6"/>
      <c r="B27" s="13"/>
      <c r="C27" s="15"/>
      <c r="D27" s="19"/>
      <c r="E27" s="13"/>
      <c r="F27" s="13"/>
      <c r="G27" s="13"/>
      <c r="H27" s="15"/>
      <c r="I27" s="15"/>
      <c r="J27" s="13"/>
    </row>
    <row r="28" spans="1:10" ht="15.5" x14ac:dyDescent="0.35">
      <c r="A28" s="92"/>
      <c r="B28" s="94"/>
      <c r="C28" s="95"/>
      <c r="D28" s="97"/>
      <c r="E28" s="13"/>
      <c r="F28" s="7"/>
      <c r="G28" s="13"/>
      <c r="H28" s="15"/>
      <c r="I28" s="20"/>
      <c r="J28" s="13"/>
    </row>
    <row r="29" spans="1:10" ht="15.5" x14ac:dyDescent="0.35">
      <c r="A29" s="92"/>
      <c r="B29" s="92"/>
      <c r="C29" s="92"/>
      <c r="D29" s="93"/>
    </row>
    <row r="31" spans="1:10" ht="15.5" x14ac:dyDescent="0.35">
      <c r="A31" s="7"/>
    </row>
  </sheetData>
  <mergeCells count="3">
    <mergeCell ref="B16:D16"/>
    <mergeCell ref="A1:Q1"/>
    <mergeCell ref="A2:Q2"/>
  </mergeCell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93"/>
  <sheetViews>
    <sheetView workbookViewId="0">
      <selection activeCell="C18" sqref="C18"/>
    </sheetView>
  </sheetViews>
  <sheetFormatPr defaultRowHeight="12.5" x14ac:dyDescent="0.25"/>
  <cols>
    <col min="1" max="1" width="18.81640625" customWidth="1"/>
    <col min="5" max="5" width="11.453125" customWidth="1"/>
    <col min="6" max="6" width="19.1796875" customWidth="1"/>
    <col min="11" max="11" width="17.1796875" customWidth="1"/>
    <col min="16" max="16" width="12.81640625" customWidth="1"/>
    <col min="21" max="21" width="15" customWidth="1"/>
    <col min="26" max="26" width="11.54296875" customWidth="1"/>
    <col min="31" max="31" width="12" customWidth="1"/>
    <col min="36" max="36" width="11.54296875" customWidth="1"/>
  </cols>
  <sheetData>
    <row r="1" spans="1:39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</row>
    <row r="2" spans="1:39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</row>
    <row r="3" spans="1:39" ht="26" x14ac:dyDescent="0.25">
      <c r="A3" s="249" t="s">
        <v>250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39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39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39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39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39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39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39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39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39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39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39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39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39" ht="15.5" x14ac:dyDescent="0.35">
      <c r="A16" s="6" t="s">
        <v>3</v>
      </c>
      <c r="B16" s="78" t="s">
        <v>269</v>
      </c>
      <c r="C16" s="8"/>
      <c r="D16" s="9"/>
      <c r="E16" s="13"/>
      <c r="F16" s="6" t="s">
        <v>250</v>
      </c>
      <c r="G16" s="78"/>
      <c r="H16" s="8"/>
      <c r="I16" s="9"/>
      <c r="J16" s="22"/>
      <c r="K16" s="7"/>
      <c r="L16" s="78"/>
      <c r="M16" s="8"/>
      <c r="N16" s="8"/>
      <c r="O16" s="22"/>
      <c r="P16" s="22"/>
      <c r="Q16" s="22"/>
      <c r="R16" s="22"/>
      <c r="S16" s="22"/>
      <c r="T16" s="13"/>
      <c r="U16" s="13"/>
      <c r="V16" s="1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</row>
    <row r="17" spans="1:39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22"/>
      <c r="K17" s="7"/>
      <c r="L17" s="7"/>
      <c r="M17" s="8"/>
      <c r="N17" s="8"/>
      <c r="O17" s="22"/>
      <c r="P17" s="22"/>
      <c r="Q17" s="22"/>
      <c r="R17" s="22"/>
      <c r="S17" s="22"/>
      <c r="T17" s="13"/>
      <c r="U17" s="13"/>
      <c r="V17" s="1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</row>
    <row r="18" spans="1:39" ht="15.5" x14ac:dyDescent="0.35">
      <c r="A18" s="6" t="s">
        <v>270</v>
      </c>
      <c r="B18" s="28">
        <v>11</v>
      </c>
      <c r="C18" s="10">
        <f>'Ingredient Cost'!D26</f>
        <v>0.83</v>
      </c>
      <c r="D18" s="11">
        <f>B18*C18</f>
        <v>9.129999999999999</v>
      </c>
      <c r="E18" s="13"/>
      <c r="F18" s="7" t="s">
        <v>250</v>
      </c>
      <c r="G18" s="28">
        <v>0.25</v>
      </c>
      <c r="H18" s="10">
        <f>D26</f>
        <v>1.1688646288209608</v>
      </c>
      <c r="I18" s="10">
        <f t="shared" ref="I18" si="0">G18*H18</f>
        <v>0.29221615720524019</v>
      </c>
      <c r="J18" s="22"/>
      <c r="K18" s="7"/>
      <c r="L18" s="13"/>
      <c r="M18" s="15"/>
      <c r="N18" s="15"/>
      <c r="O18" s="22"/>
      <c r="P18" s="22"/>
      <c r="Q18" s="22"/>
      <c r="R18" s="22"/>
      <c r="S18" s="22"/>
      <c r="T18" s="13"/>
      <c r="U18" s="13"/>
      <c r="V18" s="1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</row>
    <row r="19" spans="1:39" ht="15.5" x14ac:dyDescent="0.35">
      <c r="A19" s="6" t="s">
        <v>72</v>
      </c>
      <c r="B19" s="28">
        <v>11</v>
      </c>
      <c r="C19" s="10">
        <f>'Ingredient Cost'!D72</f>
        <v>1.7</v>
      </c>
      <c r="D19" s="11">
        <f>B19*C19</f>
        <v>18.7</v>
      </c>
      <c r="E19" s="13"/>
      <c r="F19" s="6" t="s">
        <v>139</v>
      </c>
      <c r="G19" s="28">
        <v>1</v>
      </c>
      <c r="H19" s="10">
        <v>0.1</v>
      </c>
      <c r="I19" s="11">
        <f>G19*H19</f>
        <v>0.1</v>
      </c>
      <c r="J19" s="22"/>
      <c r="K19" s="7"/>
      <c r="L19" s="13"/>
      <c r="M19" s="15"/>
      <c r="N19" s="74"/>
      <c r="O19" s="22"/>
      <c r="P19" s="22"/>
      <c r="Q19" s="22"/>
      <c r="R19" s="22"/>
      <c r="S19" s="22"/>
      <c r="T19" s="13"/>
      <c r="U19" s="13"/>
      <c r="V19" s="1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</row>
    <row r="20" spans="1:39" ht="15.5" x14ac:dyDescent="0.35">
      <c r="A20" s="6" t="s">
        <v>271</v>
      </c>
      <c r="B20" s="28">
        <v>5</v>
      </c>
      <c r="C20" s="10">
        <f>'Ingredient Cost'!D33</f>
        <v>0</v>
      </c>
      <c r="D20" s="10">
        <f>B20*C20</f>
        <v>0</v>
      </c>
      <c r="E20" s="13"/>
      <c r="F20" s="6" t="s">
        <v>140</v>
      </c>
      <c r="G20" s="91">
        <v>180</v>
      </c>
      <c r="H20" s="10">
        <v>15</v>
      </c>
      <c r="I20" s="11">
        <f>H20/G20</f>
        <v>8.3333333333333329E-2</v>
      </c>
      <c r="J20" s="22"/>
      <c r="K20" s="7"/>
      <c r="L20" s="13"/>
      <c r="M20" s="15"/>
      <c r="N20" s="74"/>
      <c r="O20" s="22"/>
      <c r="P20" s="22"/>
      <c r="Q20" s="22"/>
      <c r="R20" s="22"/>
      <c r="S20" s="22"/>
      <c r="T20" s="13"/>
      <c r="U20" s="13"/>
      <c r="V20" s="1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</row>
    <row r="21" spans="1:39" ht="15.5" x14ac:dyDescent="0.35">
      <c r="A21" s="7" t="s">
        <v>272</v>
      </c>
      <c r="B21" s="28">
        <v>10.8</v>
      </c>
      <c r="C21" s="10">
        <v>2.38</v>
      </c>
      <c r="D21" s="10">
        <f t="shared" ref="D21:D22" si="1">B21*C21</f>
        <v>25.704000000000001</v>
      </c>
      <c r="E21" s="13"/>
      <c r="F21" s="22"/>
      <c r="G21" s="91"/>
      <c r="H21" s="91"/>
      <c r="I21" s="9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3"/>
      <c r="U21" s="13"/>
      <c r="V21" s="1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</row>
    <row r="22" spans="1:39" ht="15.5" x14ac:dyDescent="0.35">
      <c r="A22" s="7" t="s">
        <v>10</v>
      </c>
      <c r="B22" s="28">
        <v>8</v>
      </c>
      <c r="C22" s="10">
        <v>0</v>
      </c>
      <c r="D22" s="10">
        <f t="shared" si="1"/>
        <v>0</v>
      </c>
      <c r="E22" s="13"/>
      <c r="F22" s="22"/>
      <c r="G22" s="91"/>
      <c r="H22" s="91"/>
      <c r="I22" s="91"/>
      <c r="J22" s="22"/>
      <c r="K22" s="22"/>
      <c r="L22" s="22"/>
      <c r="M22" s="22"/>
      <c r="N22" s="22"/>
      <c r="O22" s="13"/>
      <c r="P22" s="13"/>
      <c r="Q22" s="13"/>
      <c r="R22" s="13"/>
      <c r="S22" s="13"/>
      <c r="T22" s="13"/>
      <c r="U22" s="13"/>
      <c r="V22" s="1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</row>
    <row r="23" spans="1:39" ht="15.5" x14ac:dyDescent="0.35">
      <c r="A23" s="7" t="s">
        <v>73</v>
      </c>
      <c r="B23" s="28" t="s">
        <v>377</v>
      </c>
      <c r="C23" s="10"/>
      <c r="D23" s="10"/>
      <c r="E23" s="13"/>
      <c r="F23" s="22"/>
      <c r="G23" s="91"/>
      <c r="H23" s="91"/>
      <c r="I23" s="91"/>
      <c r="J23" s="22"/>
      <c r="K23" s="22"/>
      <c r="L23" s="22"/>
      <c r="M23" s="22"/>
      <c r="N23" s="22"/>
      <c r="O23" s="13"/>
      <c r="P23" s="13"/>
      <c r="Q23" s="13"/>
      <c r="R23" s="13"/>
      <c r="S23" s="13"/>
      <c r="T23" s="13"/>
      <c r="U23" s="13"/>
      <c r="V23" s="1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</row>
    <row r="24" spans="1:39" ht="15.5" x14ac:dyDescent="0.35">
      <c r="A24" s="6"/>
      <c r="B24" s="12">
        <f>SUM(B18:B22)</f>
        <v>45.8</v>
      </c>
      <c r="C24" s="10"/>
      <c r="D24" s="10">
        <f>SUM(D18:D22)</f>
        <v>53.533999999999999</v>
      </c>
      <c r="E24" s="13"/>
      <c r="F24" s="22"/>
      <c r="G24" s="12"/>
      <c r="H24" s="10"/>
      <c r="I24" s="10"/>
      <c r="J24" s="22"/>
      <c r="K24" s="22"/>
      <c r="L24" s="13"/>
      <c r="M24" s="15"/>
      <c r="N24" s="15"/>
      <c r="O24" s="13"/>
      <c r="P24" s="13"/>
      <c r="Q24" s="13"/>
      <c r="R24" s="13"/>
      <c r="S24" s="13"/>
      <c r="T24" s="13"/>
      <c r="U24" s="13"/>
      <c r="V24" s="1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</row>
    <row r="25" spans="1:39" ht="13" x14ac:dyDescent="0.3">
      <c r="A25" s="13"/>
      <c r="B25" s="13"/>
      <c r="C25" s="15"/>
      <c r="D25" s="14"/>
      <c r="E25" s="13"/>
      <c r="F25" s="22"/>
      <c r="G25" s="22"/>
      <c r="H25" s="22"/>
      <c r="I25" s="22"/>
      <c r="J25" s="22"/>
      <c r="K25" s="22"/>
      <c r="L25" s="22"/>
      <c r="M25" s="22"/>
      <c r="N25" s="22"/>
      <c r="O25" s="13"/>
      <c r="P25" s="13"/>
      <c r="Q25" s="13"/>
      <c r="R25" s="13"/>
      <c r="S25" s="13"/>
      <c r="T25" s="13"/>
      <c r="U25" s="13"/>
      <c r="V25" s="1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</row>
    <row r="26" spans="1:39" ht="15.5" x14ac:dyDescent="0.35">
      <c r="A26" s="6" t="s">
        <v>0</v>
      </c>
      <c r="B26" s="13"/>
      <c r="C26" s="15"/>
      <c r="D26" s="19">
        <f>SUM(D24/B24)</f>
        <v>1.1688646288209608</v>
      </c>
      <c r="E26" s="13"/>
      <c r="F26" s="6" t="s">
        <v>0</v>
      </c>
      <c r="G26" s="13"/>
      <c r="H26" s="15"/>
      <c r="I26" s="19">
        <f>SUM(I18:I24)</f>
        <v>0.47554949053857348</v>
      </c>
      <c r="J26" s="22"/>
      <c r="K26" s="7"/>
      <c r="L26" s="13"/>
      <c r="M26" s="15"/>
      <c r="N26" s="20"/>
      <c r="O26" s="13"/>
      <c r="P26" s="13"/>
      <c r="Q26" s="13"/>
      <c r="R26" s="13"/>
      <c r="S26" s="13"/>
      <c r="T26" s="13"/>
      <c r="U26" s="13"/>
      <c r="V26" s="1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</row>
    <row r="27" spans="1:39" ht="15.5" x14ac:dyDescent="0.35">
      <c r="A27" s="7"/>
      <c r="B27" s="13"/>
      <c r="C27" s="15"/>
      <c r="D27" s="20"/>
      <c r="E27" s="13"/>
      <c r="F27" s="22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</row>
    <row r="28" spans="1:39" ht="15.5" x14ac:dyDescent="0.35">
      <c r="A28" s="7"/>
      <c r="B28" s="78"/>
      <c r="C28" s="15"/>
      <c r="D28" s="20"/>
      <c r="E28" s="13"/>
      <c r="F28" s="7"/>
      <c r="G28" s="78"/>
      <c r="H28" s="15"/>
      <c r="I28" s="20"/>
      <c r="J28" s="22"/>
      <c r="K28" s="7"/>
      <c r="L28" s="78"/>
      <c r="M28" s="15"/>
      <c r="N28" s="20"/>
      <c r="O28" s="20"/>
      <c r="P28" s="7"/>
      <c r="Q28" s="78"/>
      <c r="R28" s="15"/>
      <c r="S28" s="20"/>
      <c r="T28" s="13"/>
      <c r="U28" s="7"/>
      <c r="V28" s="78"/>
      <c r="W28" s="15"/>
      <c r="X28" s="20"/>
      <c r="Y28" s="20"/>
      <c r="Z28" s="7"/>
      <c r="AA28" s="78"/>
      <c r="AB28" s="15"/>
      <c r="AC28" s="20"/>
      <c r="AD28" s="33"/>
      <c r="AE28" s="7"/>
      <c r="AF28" s="78"/>
      <c r="AG28" s="15"/>
      <c r="AH28" s="20"/>
      <c r="AI28" s="33"/>
      <c r="AJ28" s="7"/>
      <c r="AK28" s="78"/>
      <c r="AL28" s="15"/>
      <c r="AM28" s="20"/>
    </row>
    <row r="29" spans="1:39" ht="15.5" x14ac:dyDescent="0.35">
      <c r="A29" s="7"/>
      <c r="B29" s="7"/>
      <c r="C29" s="8"/>
      <c r="D29" s="8"/>
      <c r="E29" s="13"/>
      <c r="F29" s="7"/>
      <c r="G29" s="7"/>
      <c r="H29" s="8"/>
      <c r="I29" s="8"/>
      <c r="J29" s="13"/>
      <c r="K29" s="7"/>
      <c r="L29" s="7"/>
      <c r="M29" s="8"/>
      <c r="N29" s="8"/>
      <c r="O29" s="8"/>
      <c r="P29" s="7"/>
      <c r="Q29" s="7"/>
      <c r="R29" s="8"/>
      <c r="S29" s="8"/>
      <c r="T29" s="13"/>
      <c r="U29" s="7"/>
      <c r="V29" s="7"/>
      <c r="W29" s="8"/>
      <c r="X29" s="8"/>
      <c r="Y29" s="8"/>
      <c r="Z29" s="7"/>
      <c r="AA29" s="7"/>
      <c r="AB29" s="8"/>
      <c r="AC29" s="8"/>
      <c r="AD29" s="33"/>
      <c r="AE29" s="7"/>
      <c r="AF29" s="7"/>
      <c r="AG29" s="8"/>
      <c r="AH29" s="8"/>
      <c r="AI29" s="33"/>
      <c r="AJ29" s="7"/>
      <c r="AK29" s="7"/>
      <c r="AL29" s="8"/>
      <c r="AM29" s="8"/>
    </row>
    <row r="30" spans="1:39" ht="15.5" x14ac:dyDescent="0.35">
      <c r="A30" s="7"/>
      <c r="B30" s="13"/>
      <c r="C30" s="15"/>
      <c r="D30" s="74"/>
      <c r="E30" s="13"/>
      <c r="F30" s="7"/>
      <c r="G30" s="13"/>
      <c r="H30" s="15"/>
      <c r="I30" s="74"/>
      <c r="J30" s="13"/>
      <c r="K30" s="7"/>
      <c r="L30" s="13"/>
      <c r="M30" s="15"/>
      <c r="N30" s="74"/>
      <c r="O30" s="74"/>
      <c r="P30" s="7"/>
      <c r="Q30" s="13"/>
      <c r="R30" s="15"/>
      <c r="S30" s="74"/>
      <c r="T30" s="13"/>
      <c r="U30" s="7"/>
      <c r="V30" s="13"/>
      <c r="W30" s="15"/>
      <c r="X30" s="74"/>
      <c r="Y30" s="74"/>
      <c r="Z30" s="7"/>
      <c r="AA30" s="13"/>
      <c r="AB30" s="15"/>
      <c r="AC30" s="74"/>
      <c r="AD30" s="33"/>
      <c r="AE30" s="7"/>
      <c r="AF30" s="13"/>
      <c r="AG30" s="15"/>
      <c r="AH30" s="74"/>
      <c r="AI30" s="33"/>
      <c r="AJ30" s="7"/>
      <c r="AK30" s="13"/>
      <c r="AL30" s="15"/>
      <c r="AM30" s="74"/>
    </row>
    <row r="31" spans="1:39" ht="15.5" x14ac:dyDescent="0.35">
      <c r="A31" s="7"/>
      <c r="B31" s="13"/>
      <c r="C31" s="15"/>
      <c r="D31" s="74"/>
      <c r="E31" s="13"/>
      <c r="F31" s="7"/>
      <c r="G31" s="13"/>
      <c r="H31" s="15"/>
      <c r="I31" s="74"/>
      <c r="J31" s="13"/>
      <c r="K31" s="7"/>
      <c r="L31" s="13"/>
      <c r="M31" s="15"/>
      <c r="N31" s="74"/>
      <c r="O31" s="74"/>
      <c r="P31" s="7"/>
      <c r="Q31" s="13"/>
      <c r="R31" s="15"/>
      <c r="S31" s="74"/>
      <c r="T31" s="13"/>
      <c r="U31" s="7"/>
      <c r="V31" s="13"/>
      <c r="W31" s="15"/>
      <c r="X31" s="74"/>
      <c r="Y31" s="74"/>
      <c r="Z31" s="7"/>
      <c r="AA31" s="13"/>
      <c r="AB31" s="15"/>
      <c r="AC31" s="74"/>
      <c r="AD31" s="33"/>
      <c r="AE31" s="7"/>
      <c r="AF31" s="13"/>
      <c r="AG31" s="15"/>
      <c r="AH31" s="74"/>
      <c r="AI31" s="33"/>
      <c r="AJ31" s="7"/>
      <c r="AK31" s="13"/>
      <c r="AL31" s="15"/>
      <c r="AM31" s="74"/>
    </row>
    <row r="32" spans="1:39" ht="15.5" x14ac:dyDescent="0.35">
      <c r="A32" s="7"/>
      <c r="B32" s="13"/>
      <c r="C32" s="15"/>
      <c r="D32" s="15"/>
      <c r="E32" s="13"/>
      <c r="F32" s="7"/>
      <c r="G32" s="13"/>
      <c r="H32" s="15"/>
      <c r="I32" s="15"/>
      <c r="J32" s="13"/>
      <c r="K32" s="7"/>
      <c r="L32" s="13"/>
      <c r="M32" s="15"/>
      <c r="N32" s="15"/>
      <c r="O32" s="15"/>
      <c r="P32" s="7"/>
      <c r="Q32" s="13"/>
      <c r="R32" s="15"/>
      <c r="S32" s="15"/>
      <c r="T32" s="13"/>
      <c r="U32" s="7"/>
      <c r="V32" s="13"/>
      <c r="W32" s="15"/>
      <c r="X32" s="15"/>
      <c r="Y32" s="15"/>
      <c r="Z32" s="7"/>
      <c r="AA32" s="13"/>
      <c r="AB32" s="15"/>
      <c r="AC32" s="15"/>
      <c r="AD32" s="33"/>
      <c r="AE32" s="7"/>
      <c r="AF32" s="13"/>
      <c r="AG32" s="15"/>
      <c r="AH32" s="15"/>
      <c r="AI32" s="33"/>
      <c r="AJ32" s="7"/>
      <c r="AK32" s="13"/>
      <c r="AL32" s="15"/>
      <c r="AM32" s="15"/>
    </row>
    <row r="33" spans="1:39" ht="15.5" x14ac:dyDescent="0.35">
      <c r="A33" s="7"/>
      <c r="B33" s="13"/>
      <c r="C33" s="15"/>
      <c r="D33" s="15"/>
      <c r="E33" s="13"/>
      <c r="F33" s="7"/>
      <c r="G33" s="13"/>
      <c r="H33" s="15"/>
      <c r="I33" s="15"/>
      <c r="J33" s="13"/>
      <c r="K33" s="7"/>
      <c r="L33" s="13"/>
      <c r="M33" s="15"/>
      <c r="N33" s="15"/>
      <c r="O33" s="15"/>
      <c r="P33" s="7"/>
      <c r="Q33" s="13"/>
      <c r="R33" s="15"/>
      <c r="S33" s="15"/>
      <c r="T33" s="13"/>
      <c r="U33" s="7"/>
      <c r="V33" s="13"/>
      <c r="W33" s="15"/>
      <c r="X33" s="15"/>
      <c r="Y33" s="15"/>
      <c r="Z33" s="7"/>
      <c r="AA33" s="13"/>
      <c r="AB33" s="15"/>
      <c r="AC33" s="15"/>
      <c r="AD33" s="33"/>
      <c r="AE33" s="7"/>
      <c r="AF33" s="13"/>
      <c r="AG33" s="15"/>
      <c r="AH33" s="15"/>
      <c r="AI33" s="33"/>
      <c r="AJ33" s="7"/>
      <c r="AK33" s="13"/>
      <c r="AL33" s="15"/>
      <c r="AM33" s="15"/>
    </row>
    <row r="34" spans="1:39" ht="15.5" x14ac:dyDescent="0.35">
      <c r="A34" s="7"/>
      <c r="B34" s="13"/>
      <c r="C34" s="15"/>
      <c r="D34" s="15"/>
      <c r="E34" s="13"/>
      <c r="F34" s="7"/>
      <c r="G34" s="13"/>
      <c r="H34" s="15"/>
      <c r="I34" s="15"/>
      <c r="J34" s="13"/>
      <c r="K34" s="7"/>
      <c r="L34" s="13"/>
      <c r="M34" s="15"/>
      <c r="N34" s="15"/>
      <c r="O34" s="15"/>
      <c r="P34" s="7"/>
      <c r="Q34" s="13"/>
      <c r="R34" s="15"/>
      <c r="S34" s="15"/>
      <c r="T34" s="13"/>
      <c r="U34" s="7"/>
      <c r="V34" s="13"/>
      <c r="W34" s="15"/>
      <c r="X34" s="15"/>
      <c r="Y34" s="15"/>
      <c r="Z34" s="7"/>
      <c r="AA34" s="13"/>
      <c r="AB34" s="15"/>
      <c r="AC34" s="15"/>
      <c r="AD34" s="33"/>
      <c r="AE34" s="7"/>
      <c r="AF34" s="13"/>
      <c r="AG34" s="15"/>
      <c r="AH34" s="15"/>
      <c r="AI34" s="33"/>
      <c r="AJ34" s="7"/>
      <c r="AK34" s="13"/>
      <c r="AL34" s="15"/>
      <c r="AM34" s="15"/>
    </row>
    <row r="35" spans="1:39" ht="15.5" x14ac:dyDescent="0.35">
      <c r="A35" s="7"/>
      <c r="B35" s="13"/>
      <c r="C35" s="15"/>
      <c r="D35" s="15"/>
      <c r="E35" s="13"/>
      <c r="F35" s="7"/>
      <c r="G35" s="13"/>
      <c r="H35" s="15"/>
      <c r="I35" s="15"/>
      <c r="J35" s="13"/>
      <c r="K35" s="7"/>
      <c r="L35" s="13"/>
      <c r="M35" s="15"/>
      <c r="N35" s="15"/>
      <c r="O35" s="15"/>
      <c r="P35" s="7"/>
      <c r="Q35" s="13"/>
      <c r="R35" s="15"/>
      <c r="S35" s="15"/>
      <c r="T35" s="13"/>
      <c r="U35" s="7"/>
      <c r="V35" s="13"/>
      <c r="W35" s="15"/>
      <c r="X35" s="15"/>
      <c r="Y35" s="15"/>
      <c r="Z35" s="7"/>
      <c r="AA35" s="13"/>
      <c r="AB35" s="15"/>
      <c r="AC35" s="15"/>
      <c r="AD35" s="33"/>
      <c r="AE35" s="7"/>
      <c r="AF35" s="13"/>
      <c r="AG35" s="15"/>
      <c r="AH35" s="15"/>
      <c r="AI35" s="33"/>
      <c r="AJ35" s="7"/>
      <c r="AK35" s="13"/>
      <c r="AL35" s="15"/>
      <c r="AM35" s="15"/>
    </row>
    <row r="36" spans="1:39" ht="15.5" x14ac:dyDescent="0.35">
      <c r="A36" s="7"/>
      <c r="B36" s="13"/>
      <c r="C36" s="15"/>
      <c r="D36" s="15"/>
      <c r="E36" s="13"/>
      <c r="F36" s="7"/>
      <c r="G36" s="13"/>
      <c r="H36" s="15"/>
      <c r="I36" s="15"/>
      <c r="J36" s="13"/>
      <c r="K36" s="7"/>
      <c r="L36" s="13"/>
      <c r="M36" s="15"/>
      <c r="N36" s="15"/>
      <c r="O36" s="15"/>
      <c r="P36" s="7"/>
      <c r="Q36" s="13"/>
      <c r="R36" s="15"/>
      <c r="S36" s="15"/>
      <c r="T36" s="13"/>
      <c r="U36" s="7"/>
      <c r="V36" s="13"/>
      <c r="W36" s="15"/>
      <c r="X36" s="15"/>
      <c r="Y36" s="15"/>
      <c r="Z36" s="7"/>
      <c r="AA36" s="13"/>
      <c r="AB36" s="15"/>
      <c r="AC36" s="15"/>
      <c r="AD36" s="33"/>
      <c r="AE36" s="7"/>
      <c r="AF36" s="13"/>
      <c r="AG36" s="15"/>
      <c r="AH36" s="15"/>
      <c r="AI36" s="33"/>
      <c r="AJ36" s="7"/>
      <c r="AK36" s="13"/>
      <c r="AL36" s="15"/>
      <c r="AM36" s="15"/>
    </row>
    <row r="37" spans="1:39" ht="15.5" x14ac:dyDescent="0.35">
      <c r="A37" s="7"/>
      <c r="B37" s="13"/>
      <c r="C37" s="15"/>
      <c r="D37" s="15"/>
      <c r="E37" s="13"/>
      <c r="F37" s="7"/>
      <c r="G37" s="13"/>
      <c r="H37" s="15"/>
      <c r="I37" s="15"/>
      <c r="J37" s="13"/>
      <c r="K37" s="7"/>
      <c r="L37" s="13"/>
      <c r="M37" s="15"/>
      <c r="N37" s="15"/>
      <c r="O37" s="15"/>
      <c r="P37" s="7"/>
      <c r="Q37" s="13"/>
      <c r="R37" s="15"/>
      <c r="S37" s="15"/>
      <c r="T37" s="13"/>
      <c r="U37" s="7"/>
      <c r="V37" s="13"/>
      <c r="W37" s="15"/>
      <c r="X37" s="15"/>
      <c r="Y37" s="15"/>
      <c r="Z37" s="7"/>
      <c r="AA37" s="13"/>
      <c r="AB37" s="15"/>
      <c r="AC37" s="15"/>
      <c r="AD37" s="33"/>
      <c r="AE37" s="7"/>
      <c r="AF37" s="13"/>
      <c r="AG37" s="15"/>
      <c r="AH37" s="15"/>
      <c r="AI37" s="33"/>
      <c r="AJ37" s="7"/>
      <c r="AK37" s="13"/>
      <c r="AL37" s="15"/>
      <c r="AM37" s="15"/>
    </row>
    <row r="38" spans="1:39" ht="13" x14ac:dyDescent="0.3">
      <c r="A38" s="13"/>
      <c r="B38" s="13"/>
      <c r="C38" s="15"/>
      <c r="D38" s="15"/>
      <c r="E38" s="13"/>
      <c r="F38" s="13"/>
      <c r="G38" s="13"/>
      <c r="H38" s="15"/>
      <c r="I38" s="15"/>
      <c r="J38" s="13"/>
      <c r="K38" s="13"/>
      <c r="L38" s="13"/>
      <c r="M38" s="15"/>
      <c r="N38" s="15"/>
      <c r="O38" s="15"/>
      <c r="P38" s="13"/>
      <c r="Q38" s="13"/>
      <c r="R38" s="15"/>
      <c r="S38" s="15"/>
      <c r="T38" s="13"/>
      <c r="U38" s="13"/>
      <c r="V38" s="13"/>
      <c r="W38" s="15"/>
      <c r="X38" s="15"/>
      <c r="Y38" s="15"/>
      <c r="Z38" s="13"/>
      <c r="AA38" s="13"/>
      <c r="AB38" s="15"/>
      <c r="AC38" s="15"/>
      <c r="AD38" s="33"/>
      <c r="AE38" s="13"/>
      <c r="AF38" s="13"/>
      <c r="AG38" s="15"/>
      <c r="AH38" s="15"/>
      <c r="AI38" s="33"/>
      <c r="AJ38" s="13"/>
      <c r="AK38" s="13"/>
      <c r="AL38" s="15"/>
      <c r="AM38" s="15"/>
    </row>
    <row r="39" spans="1:39" ht="15.5" x14ac:dyDescent="0.35">
      <c r="A39" s="7"/>
      <c r="B39" s="13"/>
      <c r="C39" s="15"/>
      <c r="D39" s="20"/>
      <c r="E39" s="13"/>
      <c r="F39" s="7"/>
      <c r="G39" s="13"/>
      <c r="H39" s="15"/>
      <c r="I39" s="20"/>
      <c r="J39" s="13"/>
      <c r="K39" s="7"/>
      <c r="L39" s="13"/>
      <c r="M39" s="15"/>
      <c r="N39" s="20"/>
      <c r="O39" s="20"/>
      <c r="P39" s="7"/>
      <c r="Q39" s="13"/>
      <c r="R39" s="15"/>
      <c r="S39" s="20"/>
      <c r="T39" s="13"/>
      <c r="U39" s="7"/>
      <c r="V39" s="13"/>
      <c r="W39" s="15"/>
      <c r="X39" s="20"/>
      <c r="Y39" s="20"/>
      <c r="Z39" s="7"/>
      <c r="AA39" s="13"/>
      <c r="AB39" s="15"/>
      <c r="AC39" s="20"/>
      <c r="AD39" s="33"/>
      <c r="AE39" s="7"/>
      <c r="AF39" s="13"/>
      <c r="AG39" s="15"/>
      <c r="AH39" s="20"/>
      <c r="AI39" s="33"/>
      <c r="AJ39" s="7"/>
      <c r="AK39" s="13"/>
      <c r="AL39" s="15"/>
      <c r="AM39" s="20"/>
    </row>
    <row r="40" spans="1:39" ht="15.5" x14ac:dyDescent="0.35">
      <c r="A40" s="7"/>
      <c r="B40" s="13"/>
      <c r="C40" s="15"/>
      <c r="D40" s="20"/>
      <c r="E40" s="13"/>
      <c r="F40" s="22"/>
      <c r="G40" s="22"/>
      <c r="H40" s="22"/>
      <c r="I40" s="22"/>
      <c r="J40" s="22"/>
      <c r="K40" s="22"/>
      <c r="L40" s="22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</row>
    <row r="41" spans="1:39" ht="15.5" x14ac:dyDescent="0.35">
      <c r="A41" s="7"/>
      <c r="B41" s="78"/>
      <c r="C41" s="15"/>
      <c r="D41" s="20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</row>
    <row r="42" spans="1:39" ht="15.5" x14ac:dyDescent="0.35">
      <c r="A42" s="7"/>
      <c r="B42" s="7"/>
      <c r="C42" s="8"/>
      <c r="D42" s="8"/>
      <c r="E42" s="13"/>
      <c r="F42" s="7"/>
      <c r="G42" s="3"/>
      <c r="H42" s="4"/>
      <c r="I42" s="4"/>
      <c r="J42" s="13"/>
      <c r="K42" s="7"/>
      <c r="L42" s="47"/>
      <c r="M42" s="48"/>
      <c r="N42" s="49"/>
      <c r="O42" s="49"/>
      <c r="P42" s="49"/>
      <c r="Q42" s="49"/>
      <c r="R42" s="49"/>
      <c r="S42" s="49"/>
      <c r="T42" s="33"/>
      <c r="U42" s="7"/>
      <c r="V42" s="47"/>
      <c r="W42" s="48"/>
      <c r="X42" s="49"/>
      <c r="Y42" s="49"/>
      <c r="Z42" s="7"/>
      <c r="AA42" s="78"/>
      <c r="AB42" s="15"/>
      <c r="AC42" s="20"/>
      <c r="AD42" s="33"/>
      <c r="AE42" s="33"/>
      <c r="AF42" s="33"/>
      <c r="AG42" s="33"/>
      <c r="AH42" s="33"/>
      <c r="AI42" s="33"/>
      <c r="AJ42" s="33"/>
      <c r="AK42" s="33"/>
      <c r="AL42" s="33"/>
      <c r="AM42" s="33"/>
    </row>
    <row r="43" spans="1:39" ht="15.5" x14ac:dyDescent="0.35">
      <c r="A43" s="7"/>
      <c r="B43" s="13"/>
      <c r="C43" s="15"/>
      <c r="D43" s="74"/>
      <c r="E43" s="13"/>
      <c r="F43" s="7"/>
      <c r="G43" s="5"/>
      <c r="H43" s="4"/>
      <c r="I43" s="4"/>
      <c r="J43" s="13"/>
      <c r="K43" s="7"/>
      <c r="L43" s="7"/>
      <c r="M43" s="8"/>
      <c r="N43" s="8"/>
      <c r="O43" s="8"/>
      <c r="P43" s="8"/>
      <c r="Q43" s="8"/>
      <c r="R43" s="8"/>
      <c r="S43" s="8"/>
      <c r="T43" s="33"/>
      <c r="U43" s="7"/>
      <c r="V43" s="7"/>
      <c r="W43" s="8"/>
      <c r="X43" s="8"/>
      <c r="Y43" s="8"/>
      <c r="Z43" s="7"/>
      <c r="AA43" s="7"/>
      <c r="AB43" s="8"/>
      <c r="AC43" s="8"/>
      <c r="AD43" s="33"/>
      <c r="AE43" s="33"/>
      <c r="AF43" s="33"/>
      <c r="AG43" s="33"/>
      <c r="AH43" s="33"/>
      <c r="AI43" s="33"/>
      <c r="AJ43" s="33"/>
      <c r="AK43" s="33"/>
      <c r="AL43" s="33"/>
      <c r="AM43" s="33"/>
    </row>
    <row r="44" spans="1:39" ht="15.5" x14ac:dyDescent="0.35">
      <c r="A44" s="7"/>
      <c r="B44" s="13"/>
      <c r="C44" s="15"/>
      <c r="D44" s="74"/>
      <c r="E44" s="13"/>
      <c r="F44" s="7"/>
      <c r="G44" s="5"/>
      <c r="H44" s="4"/>
      <c r="I44" s="4"/>
      <c r="J44" s="13"/>
      <c r="K44" s="7"/>
      <c r="L44" s="13"/>
      <c r="M44" s="15"/>
      <c r="N44" s="74"/>
      <c r="O44" s="74"/>
      <c r="P44" s="74"/>
      <c r="Q44" s="74"/>
      <c r="R44" s="74"/>
      <c r="S44" s="74"/>
      <c r="T44" s="33"/>
      <c r="U44" s="7"/>
      <c r="V44" s="13"/>
      <c r="W44" s="15"/>
      <c r="X44" s="74"/>
      <c r="Y44" s="74"/>
      <c r="Z44" s="7"/>
      <c r="AA44" s="13"/>
      <c r="AB44" s="15"/>
      <c r="AC44" s="74"/>
      <c r="AD44" s="33"/>
      <c r="AE44" s="33"/>
      <c r="AF44" s="33"/>
      <c r="AG44" s="33"/>
      <c r="AH44" s="33"/>
      <c r="AI44" s="33"/>
      <c r="AJ44" s="33"/>
      <c r="AK44" s="33"/>
      <c r="AL44" s="33"/>
      <c r="AM44" s="33"/>
    </row>
    <row r="45" spans="1:39" ht="15.5" x14ac:dyDescent="0.35">
      <c r="A45" s="7"/>
      <c r="B45" s="13"/>
      <c r="C45" s="15"/>
      <c r="D45" s="15"/>
      <c r="E45" s="13"/>
      <c r="F45" s="7"/>
      <c r="G45" s="7"/>
      <c r="H45" s="8"/>
      <c r="I45" s="8"/>
      <c r="J45" s="13"/>
      <c r="K45" s="7"/>
      <c r="L45" s="13"/>
      <c r="M45" s="15"/>
      <c r="N45" s="74"/>
      <c r="O45" s="74"/>
      <c r="P45" s="74"/>
      <c r="Q45" s="74"/>
      <c r="R45" s="74"/>
      <c r="S45" s="74"/>
      <c r="T45" s="33"/>
      <c r="U45" s="7"/>
      <c r="V45" s="13"/>
      <c r="W45" s="15"/>
      <c r="X45" s="74"/>
      <c r="Y45" s="74"/>
      <c r="Z45" s="7"/>
      <c r="AA45" s="13"/>
      <c r="AB45" s="15"/>
      <c r="AC45" s="74"/>
      <c r="AD45" s="33"/>
      <c r="AE45" s="33"/>
      <c r="AF45" s="33"/>
      <c r="AG45" s="33"/>
      <c r="AH45" s="33"/>
      <c r="AI45" s="33"/>
      <c r="AJ45" s="33"/>
      <c r="AK45" s="33"/>
      <c r="AL45" s="33"/>
      <c r="AM45" s="33"/>
    </row>
    <row r="46" spans="1:39" ht="15.5" x14ac:dyDescent="0.35">
      <c r="A46" s="7"/>
      <c r="B46" s="13"/>
      <c r="C46" s="15"/>
      <c r="D46" s="15"/>
      <c r="E46" s="13"/>
      <c r="F46" s="7"/>
      <c r="G46" s="13"/>
      <c r="H46" s="15"/>
      <c r="I46" s="74"/>
      <c r="J46" s="13"/>
      <c r="K46" s="7"/>
      <c r="L46" s="13"/>
      <c r="M46" s="15"/>
      <c r="N46" s="15"/>
      <c r="O46" s="15"/>
      <c r="P46" s="15"/>
      <c r="Q46" s="15"/>
      <c r="R46" s="15"/>
      <c r="S46" s="15"/>
      <c r="T46" s="33"/>
      <c r="U46" s="7"/>
      <c r="V46" s="13"/>
      <c r="W46" s="15"/>
      <c r="X46" s="15"/>
      <c r="Y46" s="15"/>
      <c r="Z46" s="7"/>
      <c r="AA46" s="13"/>
      <c r="AB46" s="15"/>
      <c r="AC46" s="15"/>
      <c r="AD46" s="33"/>
      <c r="AE46" s="33"/>
      <c r="AF46" s="33"/>
      <c r="AG46" s="33"/>
      <c r="AH46" s="33"/>
      <c r="AI46" s="33"/>
      <c r="AJ46" s="33"/>
      <c r="AK46" s="33"/>
      <c r="AL46" s="33"/>
      <c r="AM46" s="33"/>
    </row>
    <row r="47" spans="1:39" ht="15.5" x14ac:dyDescent="0.35">
      <c r="A47" s="7"/>
      <c r="B47" s="13"/>
      <c r="C47" s="15"/>
      <c r="D47" s="15"/>
      <c r="E47" s="13"/>
      <c r="F47" s="7"/>
      <c r="G47" s="13"/>
      <c r="H47" s="15"/>
      <c r="I47" s="74"/>
      <c r="J47" s="13"/>
      <c r="K47" s="7"/>
      <c r="L47" s="13"/>
      <c r="M47" s="15"/>
      <c r="N47" s="15"/>
      <c r="O47" s="15"/>
      <c r="P47" s="15"/>
      <c r="Q47" s="15"/>
      <c r="R47" s="15"/>
      <c r="S47" s="15"/>
      <c r="T47" s="33"/>
      <c r="U47" s="7"/>
      <c r="V47" s="13"/>
      <c r="W47" s="15"/>
      <c r="X47" s="15"/>
      <c r="Y47" s="15"/>
      <c r="Z47" s="7"/>
      <c r="AA47" s="13"/>
      <c r="AB47" s="15"/>
      <c r="AC47" s="15"/>
      <c r="AD47" s="33"/>
      <c r="AE47" s="33"/>
      <c r="AF47" s="33"/>
      <c r="AG47" s="33"/>
      <c r="AH47" s="33"/>
      <c r="AI47" s="33"/>
      <c r="AJ47" s="33"/>
      <c r="AK47" s="33"/>
      <c r="AL47" s="33"/>
      <c r="AM47" s="33"/>
    </row>
    <row r="48" spans="1:39" ht="15.5" x14ac:dyDescent="0.35">
      <c r="A48" s="7"/>
      <c r="B48" s="13"/>
      <c r="C48" s="15"/>
      <c r="D48" s="15"/>
      <c r="E48" s="13"/>
      <c r="F48" s="7"/>
      <c r="G48" s="13"/>
      <c r="H48" s="15"/>
      <c r="I48" s="15"/>
      <c r="J48" s="13"/>
      <c r="K48" s="7"/>
      <c r="L48" s="13"/>
      <c r="M48" s="15"/>
      <c r="N48" s="15"/>
      <c r="O48" s="15"/>
      <c r="P48" s="15"/>
      <c r="Q48" s="15"/>
      <c r="R48" s="15"/>
      <c r="S48" s="15"/>
      <c r="T48" s="33"/>
      <c r="U48" s="7"/>
      <c r="V48" s="13"/>
      <c r="W48" s="15"/>
      <c r="X48" s="15"/>
      <c r="Y48" s="15"/>
      <c r="Z48" s="7"/>
      <c r="AA48" s="13"/>
      <c r="AB48" s="15"/>
      <c r="AC48" s="15"/>
      <c r="AD48" s="33"/>
      <c r="AE48" s="33"/>
      <c r="AF48" s="33"/>
      <c r="AG48" s="33"/>
      <c r="AH48" s="33"/>
      <c r="AI48" s="33"/>
      <c r="AJ48" s="33"/>
      <c r="AK48" s="33"/>
      <c r="AL48" s="33"/>
      <c r="AM48" s="33"/>
    </row>
    <row r="49" spans="1:39" ht="15.5" x14ac:dyDescent="0.35">
      <c r="A49" s="7"/>
      <c r="B49" s="13"/>
      <c r="C49" s="15"/>
      <c r="D49" s="15"/>
      <c r="E49" s="13"/>
      <c r="F49" s="7"/>
      <c r="G49" s="13"/>
      <c r="H49" s="15"/>
      <c r="I49" s="15"/>
      <c r="J49" s="13"/>
      <c r="K49" s="7"/>
      <c r="L49" s="13"/>
      <c r="M49" s="15"/>
      <c r="N49" s="15"/>
      <c r="O49" s="15"/>
      <c r="P49" s="15"/>
      <c r="Q49" s="15"/>
      <c r="R49" s="15"/>
      <c r="S49" s="15"/>
      <c r="T49" s="33"/>
      <c r="U49" s="7"/>
      <c r="V49" s="13"/>
      <c r="W49" s="15"/>
      <c r="X49" s="15"/>
      <c r="Y49" s="15"/>
      <c r="Z49" s="7"/>
      <c r="AA49" s="13"/>
      <c r="AB49" s="15"/>
      <c r="AC49" s="15"/>
      <c r="AD49" s="33"/>
      <c r="AE49" s="33"/>
      <c r="AF49" s="33"/>
      <c r="AG49" s="33"/>
      <c r="AH49" s="33"/>
      <c r="AI49" s="33"/>
      <c r="AJ49" s="33"/>
      <c r="AK49" s="33"/>
      <c r="AL49" s="33"/>
      <c r="AM49" s="33"/>
    </row>
    <row r="50" spans="1:39" ht="15.5" x14ac:dyDescent="0.35">
      <c r="A50" s="7"/>
      <c r="B50" s="13"/>
      <c r="C50" s="15"/>
      <c r="D50" s="15"/>
      <c r="E50" s="13"/>
      <c r="F50" s="7"/>
      <c r="G50" s="13"/>
      <c r="H50" s="15"/>
      <c r="I50" s="15"/>
      <c r="J50" s="13"/>
      <c r="K50" s="7"/>
      <c r="L50" s="13"/>
      <c r="M50" s="15"/>
      <c r="N50" s="15"/>
      <c r="O50" s="15"/>
      <c r="P50" s="15"/>
      <c r="Q50" s="15"/>
      <c r="R50" s="15"/>
      <c r="S50" s="15"/>
      <c r="T50" s="33"/>
      <c r="U50" s="7"/>
      <c r="V50" s="13"/>
      <c r="W50" s="15"/>
      <c r="X50" s="15"/>
      <c r="Y50" s="15"/>
      <c r="Z50" s="7"/>
      <c r="AA50" s="13"/>
      <c r="AB50" s="15"/>
      <c r="AC50" s="15"/>
      <c r="AD50" s="33"/>
      <c r="AE50" s="33"/>
      <c r="AF50" s="33"/>
      <c r="AG50" s="33"/>
      <c r="AH50" s="33"/>
      <c r="AI50" s="33"/>
      <c r="AJ50" s="33"/>
      <c r="AK50" s="33"/>
      <c r="AL50" s="33"/>
      <c r="AM50" s="33"/>
    </row>
    <row r="51" spans="1:39" ht="15.5" x14ac:dyDescent="0.35">
      <c r="A51" s="13"/>
      <c r="B51" s="13"/>
      <c r="C51" s="15"/>
      <c r="D51" s="15"/>
      <c r="E51" s="13"/>
      <c r="F51" s="7"/>
      <c r="G51" s="13"/>
      <c r="H51" s="15"/>
      <c r="I51" s="15"/>
      <c r="J51" s="13"/>
      <c r="K51" s="7"/>
      <c r="L51" s="13"/>
      <c r="M51" s="15"/>
      <c r="N51" s="15"/>
      <c r="O51" s="15"/>
      <c r="P51" s="15"/>
      <c r="Q51" s="15"/>
      <c r="R51" s="15"/>
      <c r="S51" s="15"/>
      <c r="T51" s="33"/>
      <c r="U51" s="7"/>
      <c r="V51" s="13"/>
      <c r="W51" s="15"/>
      <c r="X51" s="15"/>
      <c r="Y51" s="15"/>
      <c r="Z51" s="7"/>
      <c r="AA51" s="13"/>
      <c r="AB51" s="15"/>
      <c r="AC51" s="15"/>
      <c r="AD51" s="33"/>
      <c r="AE51" s="33"/>
      <c r="AF51" s="33"/>
      <c r="AG51" s="33"/>
      <c r="AH51" s="33"/>
      <c r="AI51" s="33"/>
      <c r="AJ51" s="33"/>
      <c r="AK51" s="33"/>
      <c r="AL51" s="33"/>
      <c r="AM51" s="33"/>
    </row>
    <row r="52" spans="1:39" ht="15.5" x14ac:dyDescent="0.35">
      <c r="A52" s="7"/>
      <c r="B52" s="13"/>
      <c r="C52" s="15"/>
      <c r="D52" s="20"/>
      <c r="E52" s="13"/>
      <c r="F52" s="7"/>
      <c r="G52" s="13"/>
      <c r="H52" s="15"/>
      <c r="I52" s="15"/>
      <c r="J52" s="13"/>
      <c r="K52" s="13"/>
      <c r="L52" s="13"/>
      <c r="M52" s="15"/>
      <c r="N52" s="15"/>
      <c r="O52" s="15"/>
      <c r="P52" s="15"/>
      <c r="Q52" s="15"/>
      <c r="R52" s="15"/>
      <c r="S52" s="15"/>
      <c r="T52" s="33"/>
      <c r="U52" s="13"/>
      <c r="V52" s="13"/>
      <c r="W52" s="15"/>
      <c r="X52" s="15"/>
      <c r="Y52" s="15"/>
      <c r="Z52" s="13"/>
      <c r="AA52" s="13"/>
      <c r="AB52" s="15"/>
      <c r="AC52" s="15"/>
      <c r="AD52" s="33"/>
      <c r="AE52" s="33"/>
      <c r="AF52" s="33"/>
      <c r="AG52" s="33"/>
      <c r="AH52" s="33"/>
      <c r="AI52" s="33"/>
      <c r="AJ52" s="33"/>
      <c r="AK52" s="33"/>
      <c r="AL52" s="33"/>
      <c r="AM52" s="33"/>
    </row>
    <row r="53" spans="1:39" ht="15.5" x14ac:dyDescent="0.35">
      <c r="A53" s="7"/>
      <c r="B53" s="13"/>
      <c r="C53" s="15"/>
      <c r="D53" s="74"/>
      <c r="E53" s="13"/>
      <c r="F53" s="13"/>
      <c r="G53" s="13"/>
      <c r="H53" s="15"/>
      <c r="I53" s="15"/>
      <c r="J53" s="13"/>
      <c r="K53" s="7"/>
      <c r="L53" s="13"/>
      <c r="M53" s="15"/>
      <c r="N53" s="20"/>
      <c r="O53" s="20"/>
      <c r="P53" s="20"/>
      <c r="Q53" s="20"/>
      <c r="R53" s="20"/>
      <c r="S53" s="20"/>
      <c r="T53" s="33"/>
      <c r="U53" s="7"/>
      <c r="V53" s="13"/>
      <c r="W53" s="15"/>
      <c r="X53" s="20"/>
      <c r="Y53" s="20"/>
      <c r="Z53" s="7"/>
      <c r="AA53" s="13"/>
      <c r="AB53" s="15"/>
      <c r="AC53" s="20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spans="1:39" ht="15.5" x14ac:dyDescent="0.35">
      <c r="A54" s="7"/>
      <c r="B54" s="78"/>
      <c r="C54" s="15"/>
      <c r="D54" s="20"/>
      <c r="E54" s="13"/>
      <c r="F54" s="7"/>
      <c r="G54" s="13"/>
      <c r="H54" s="15"/>
      <c r="I54" s="20"/>
      <c r="J54" s="13"/>
      <c r="K54" s="7"/>
      <c r="L54" s="33"/>
      <c r="M54" s="33"/>
      <c r="N54" s="74"/>
      <c r="O54" s="74"/>
      <c r="P54" s="74"/>
      <c r="Q54" s="74"/>
      <c r="R54" s="74"/>
      <c r="S54" s="74"/>
      <c r="T54" s="33"/>
      <c r="U54" s="7"/>
      <c r="V54" s="33"/>
      <c r="W54" s="33"/>
      <c r="X54" s="74"/>
      <c r="Y54" s="74"/>
      <c r="Z54" s="74"/>
      <c r="AA54" s="74"/>
      <c r="AB54" s="74"/>
      <c r="AC54" s="74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spans="1:39" ht="15.5" x14ac:dyDescent="0.35">
      <c r="A55" s="7"/>
      <c r="B55" s="7"/>
      <c r="C55" s="8"/>
      <c r="D55" s="8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spans="1:39" ht="15.5" x14ac:dyDescent="0.35">
      <c r="A56" s="7"/>
      <c r="B56" s="13"/>
      <c r="C56" s="15"/>
      <c r="D56" s="74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spans="1:39" ht="15.5" x14ac:dyDescent="0.35">
      <c r="A57" s="7"/>
      <c r="B57" s="13"/>
      <c r="C57" s="15"/>
      <c r="D57" s="74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spans="1:39" ht="15.5" x14ac:dyDescent="0.35">
      <c r="A58" s="7"/>
      <c r="B58" s="13"/>
      <c r="C58" s="15"/>
      <c r="D58" s="15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spans="1:39" ht="15.5" x14ac:dyDescent="0.35">
      <c r="A59" s="7"/>
      <c r="B59" s="13"/>
      <c r="C59" s="15"/>
      <c r="D59" s="15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spans="1:39" ht="15.5" x14ac:dyDescent="0.35">
      <c r="A60" s="7"/>
      <c r="B60" s="13"/>
      <c r="C60" s="15"/>
      <c r="D60" s="15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1:39" ht="15.5" x14ac:dyDescent="0.35">
      <c r="A61" s="7"/>
      <c r="B61" s="13"/>
      <c r="C61" s="15"/>
      <c r="D61" s="15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</row>
    <row r="62" spans="1:39" ht="15.5" x14ac:dyDescent="0.35">
      <c r="A62" s="7"/>
      <c r="B62" s="13"/>
      <c r="C62" s="15"/>
      <c r="D62" s="15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</row>
    <row r="63" spans="1:39" ht="15.5" x14ac:dyDescent="0.35">
      <c r="A63" s="7"/>
      <c r="B63" s="13"/>
      <c r="C63" s="15"/>
      <c r="D63" s="15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</row>
    <row r="64" spans="1:39" ht="15.5" x14ac:dyDescent="0.35">
      <c r="A64" s="7"/>
      <c r="B64" s="13"/>
      <c r="C64" s="15"/>
      <c r="D64" s="15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spans="1:39" ht="13" x14ac:dyDescent="0.3">
      <c r="A65" s="13"/>
      <c r="B65" s="13"/>
      <c r="C65" s="15"/>
      <c r="D65" s="15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</row>
    <row r="66" spans="1:39" ht="15.5" x14ac:dyDescent="0.35">
      <c r="A66" s="7"/>
      <c r="B66" s="13"/>
      <c r="C66" s="15"/>
      <c r="D66" s="20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</row>
    <row r="67" spans="1:39" x14ac:dyDescent="0.25"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</row>
    <row r="68" spans="1:39" ht="15.5" x14ac:dyDescent="0.35">
      <c r="A68" s="7"/>
      <c r="B68" s="78"/>
      <c r="C68" s="15"/>
      <c r="D68" s="20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</row>
    <row r="69" spans="1:39" ht="15.5" x14ac:dyDescent="0.35">
      <c r="A69" s="7"/>
      <c r="B69" s="7"/>
      <c r="C69" s="8"/>
      <c r="D69" s="8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</row>
    <row r="70" spans="1:39" ht="15.5" x14ac:dyDescent="0.35">
      <c r="A70" s="7"/>
      <c r="B70" s="13"/>
      <c r="C70" s="15"/>
      <c r="D70" s="74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spans="1:39" ht="15.5" x14ac:dyDescent="0.35">
      <c r="A71" s="7"/>
      <c r="B71" s="13"/>
      <c r="C71" s="15"/>
      <c r="D71" s="74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spans="1:39" ht="15.5" x14ac:dyDescent="0.35">
      <c r="A72" s="7"/>
      <c r="B72" s="13"/>
      <c r="C72" s="15"/>
      <c r="D72" s="15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spans="1:39" ht="15.5" x14ac:dyDescent="0.35">
      <c r="A73" s="7"/>
      <c r="B73" s="13"/>
      <c r="C73" s="15"/>
      <c r="D73" s="15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spans="1:39" ht="15.5" x14ac:dyDescent="0.35">
      <c r="A74" s="7"/>
      <c r="B74" s="13"/>
      <c r="C74" s="15"/>
      <c r="D74" s="15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spans="1:39" ht="15.5" x14ac:dyDescent="0.35">
      <c r="A75" s="7"/>
      <c r="B75" s="13"/>
      <c r="C75" s="15"/>
      <c r="D75" s="15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spans="1:39" ht="15.5" x14ac:dyDescent="0.35">
      <c r="A76" s="7"/>
      <c r="B76" s="13"/>
      <c r="C76" s="15"/>
      <c r="D76" s="15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spans="1:39" ht="15.5" x14ac:dyDescent="0.35">
      <c r="A77" s="7"/>
      <c r="B77" s="13"/>
      <c r="C77" s="15"/>
      <c r="D77" s="15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spans="1:39" ht="15.5" x14ac:dyDescent="0.35">
      <c r="A78" s="7"/>
      <c r="B78" s="13"/>
      <c r="C78" s="15"/>
      <c r="D78" s="15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spans="1:39" ht="13" x14ac:dyDescent="0.3">
      <c r="A79" s="13"/>
      <c r="B79" s="13"/>
      <c r="C79" s="15"/>
      <c r="D79" s="15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spans="1:39" ht="15.5" x14ac:dyDescent="0.35">
      <c r="A80" s="7"/>
      <c r="B80" s="13"/>
      <c r="C80" s="15"/>
      <c r="D80" s="20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spans="1:39" x14ac:dyDescent="0.25"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spans="1:39" ht="15.5" x14ac:dyDescent="0.35">
      <c r="A82" s="7"/>
      <c r="B82" s="78"/>
      <c r="C82" s="15"/>
      <c r="D82" s="20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spans="1:39" ht="15.5" x14ac:dyDescent="0.35">
      <c r="A83" s="7"/>
      <c r="B83" s="7"/>
      <c r="C83" s="8"/>
      <c r="D83" s="8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spans="1:39" ht="15.5" x14ac:dyDescent="0.35">
      <c r="A84" s="7"/>
      <c r="B84" s="13"/>
      <c r="C84" s="15"/>
      <c r="D84" s="74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spans="1:39" ht="15.5" x14ac:dyDescent="0.35">
      <c r="A85" s="7"/>
      <c r="B85" s="13"/>
      <c r="C85" s="15"/>
      <c r="D85" s="74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spans="1:39" ht="15.5" x14ac:dyDescent="0.35">
      <c r="A86" s="7"/>
      <c r="B86" s="13"/>
      <c r="C86" s="15"/>
      <c r="D86" s="15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spans="1:39" ht="15.5" x14ac:dyDescent="0.35">
      <c r="A87" s="7"/>
      <c r="B87" s="13"/>
      <c r="C87" s="15"/>
      <c r="D87" s="15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spans="1:39" ht="15.5" x14ac:dyDescent="0.35">
      <c r="A88" s="7"/>
      <c r="B88" s="13"/>
      <c r="C88" s="15"/>
      <c r="D88" s="15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</row>
    <row r="89" spans="1:39" ht="15.5" x14ac:dyDescent="0.35">
      <c r="A89" s="7"/>
      <c r="B89" s="13"/>
      <c r="C89" s="15"/>
      <c r="D89" s="15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</row>
    <row r="90" spans="1:39" ht="15.5" x14ac:dyDescent="0.35">
      <c r="A90" s="7"/>
      <c r="B90" s="13"/>
      <c r="C90" s="15"/>
      <c r="D90" s="15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</row>
    <row r="91" spans="1:39" ht="15.5" x14ac:dyDescent="0.35">
      <c r="A91" s="7"/>
      <c r="B91" s="13"/>
      <c r="C91" s="15"/>
      <c r="D91" s="15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spans="1:39" ht="13" x14ac:dyDescent="0.3">
      <c r="A92" s="13"/>
      <c r="B92" s="13"/>
      <c r="C92" s="15"/>
      <c r="D92" s="15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spans="1:39" ht="15.5" x14ac:dyDescent="0.35">
      <c r="A93" s="7"/>
      <c r="B93" s="13"/>
      <c r="C93" s="15"/>
      <c r="D93" s="20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</sheetData>
  <mergeCells count="4">
    <mergeCell ref="A1:V1"/>
    <mergeCell ref="A2:V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3"/>
  <sheetViews>
    <sheetView workbookViewId="0">
      <selection activeCell="E27" sqref="E27"/>
    </sheetView>
  </sheetViews>
  <sheetFormatPr defaultRowHeight="12.5" x14ac:dyDescent="0.25"/>
  <cols>
    <col min="1" max="1" width="19.1796875" customWidth="1"/>
    <col min="5" max="5" width="11.453125" customWidth="1"/>
    <col min="6" max="6" width="19.1796875" customWidth="1"/>
    <col min="11" max="11" width="18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265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26.25" customHeight="1" x14ac:dyDescent="0.35">
      <c r="A16" s="7" t="s">
        <v>3</v>
      </c>
      <c r="B16" s="7" t="s">
        <v>301</v>
      </c>
      <c r="C16" s="15"/>
      <c r="D16" s="20"/>
      <c r="E16" s="13"/>
      <c r="F16" s="7" t="s">
        <v>3</v>
      </c>
      <c r="G16" s="7" t="s">
        <v>74</v>
      </c>
      <c r="H16" s="15"/>
      <c r="I16" s="20"/>
      <c r="J16" s="13"/>
      <c r="K16" s="7" t="s">
        <v>3</v>
      </c>
      <c r="L16" s="109" t="s">
        <v>268</v>
      </c>
      <c r="M16" s="83"/>
      <c r="N16" s="8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13"/>
      <c r="K17" s="6"/>
      <c r="L17" s="7" t="s">
        <v>1</v>
      </c>
      <c r="M17" s="8" t="s">
        <v>2</v>
      </c>
      <c r="N17" s="9" t="s">
        <v>4</v>
      </c>
      <c r="O17" s="13"/>
      <c r="P17" s="13"/>
      <c r="Q17" s="13"/>
    </row>
    <row r="18" spans="1:17" ht="15.5" x14ac:dyDescent="0.35">
      <c r="A18" s="6" t="s">
        <v>45</v>
      </c>
      <c r="B18" s="28">
        <v>3</v>
      </c>
      <c r="C18" s="10">
        <f>'Ingredient Cost'!D56</f>
        <v>61.36</v>
      </c>
      <c r="D18" s="11">
        <f>B18*C18</f>
        <v>184.07999999999998</v>
      </c>
      <c r="E18" s="13"/>
      <c r="F18" s="6" t="s">
        <v>74</v>
      </c>
      <c r="G18" s="28">
        <v>10</v>
      </c>
      <c r="H18" s="10"/>
      <c r="I18" s="11">
        <f>G18*H18</f>
        <v>0</v>
      </c>
      <c r="J18" s="13"/>
      <c r="K18" s="6" t="s">
        <v>252</v>
      </c>
      <c r="L18" s="28">
        <v>0.4</v>
      </c>
      <c r="M18" s="10">
        <f>I26</f>
        <v>4.8000000000000001E-2</v>
      </c>
      <c r="N18" s="11">
        <f>L18*M18</f>
        <v>1.9200000000000002E-2</v>
      </c>
      <c r="O18" s="13"/>
      <c r="P18" s="13"/>
      <c r="Q18" s="13"/>
    </row>
    <row r="19" spans="1:17" ht="15.5" x14ac:dyDescent="0.35">
      <c r="A19" s="6" t="s">
        <v>297</v>
      </c>
      <c r="B19" s="28">
        <v>1</v>
      </c>
      <c r="C19" s="10">
        <v>2</v>
      </c>
      <c r="D19" s="11">
        <f>B19*C19</f>
        <v>2</v>
      </c>
      <c r="E19" s="13"/>
      <c r="F19" s="6" t="s">
        <v>266</v>
      </c>
      <c r="G19" s="28">
        <v>2.4E-2</v>
      </c>
      <c r="H19" s="10">
        <v>2</v>
      </c>
      <c r="I19" s="11">
        <f t="shared" ref="I19:I21" si="0">G19*H19</f>
        <v>4.8000000000000001E-2</v>
      </c>
      <c r="J19" s="13"/>
      <c r="K19" s="6" t="s">
        <v>267</v>
      </c>
      <c r="L19" s="28">
        <v>7.0000000000000007E-2</v>
      </c>
      <c r="M19" s="10">
        <f>'Ingredient Cost'!I88</f>
        <v>0</v>
      </c>
      <c r="N19" s="11">
        <f>L19*M19</f>
        <v>0</v>
      </c>
      <c r="O19" s="13"/>
      <c r="P19" s="13"/>
      <c r="Q19" s="13"/>
    </row>
    <row r="20" spans="1:17" ht="15.5" x14ac:dyDescent="0.35">
      <c r="A20" s="6" t="s">
        <v>298</v>
      </c>
      <c r="B20" s="28">
        <v>1</v>
      </c>
      <c r="C20" s="10">
        <v>2</v>
      </c>
      <c r="D20" s="11">
        <f t="shared" ref="D20:D23" si="1">B20*C20</f>
        <v>2</v>
      </c>
      <c r="E20" s="13"/>
      <c r="F20" s="6" t="s">
        <v>10</v>
      </c>
      <c r="G20" s="28">
        <v>1</v>
      </c>
      <c r="H20" s="10">
        <v>0</v>
      </c>
      <c r="I20" s="11">
        <f t="shared" si="0"/>
        <v>0</v>
      </c>
      <c r="J20" s="13"/>
      <c r="K20" s="6" t="s">
        <v>139</v>
      </c>
      <c r="L20" s="28">
        <v>1</v>
      </c>
      <c r="M20" s="10">
        <v>0.2</v>
      </c>
      <c r="N20" s="11">
        <f>M20/L20</f>
        <v>0.2</v>
      </c>
      <c r="O20" s="13"/>
      <c r="P20" s="13"/>
      <c r="Q20" s="13"/>
    </row>
    <row r="21" spans="1:17" ht="15.5" x14ac:dyDescent="0.35">
      <c r="A21" s="6" t="s">
        <v>299</v>
      </c>
      <c r="B21" s="28">
        <v>1.5</v>
      </c>
      <c r="C21" s="10">
        <v>2</v>
      </c>
      <c r="D21" s="11">
        <f t="shared" si="1"/>
        <v>3</v>
      </c>
      <c r="E21" s="13"/>
      <c r="F21" s="6" t="s">
        <v>75</v>
      </c>
      <c r="G21" s="28">
        <v>2</v>
      </c>
      <c r="H21" s="10">
        <f>'Ingredient Cost'!I26</f>
        <v>0</v>
      </c>
      <c r="I21" s="11">
        <f t="shared" si="0"/>
        <v>0</v>
      </c>
      <c r="J21" s="13"/>
      <c r="K21" s="6" t="s">
        <v>140</v>
      </c>
      <c r="L21" s="28">
        <v>29</v>
      </c>
      <c r="M21" s="10">
        <v>15</v>
      </c>
      <c r="N21" s="11">
        <f>M21/L21</f>
        <v>0.51724137931034486</v>
      </c>
      <c r="O21" s="13"/>
      <c r="P21" s="13"/>
      <c r="Q21" s="13"/>
    </row>
    <row r="22" spans="1:17" ht="15.5" x14ac:dyDescent="0.35">
      <c r="A22" s="6" t="s">
        <v>300</v>
      </c>
      <c r="B22" s="28">
        <v>0.1</v>
      </c>
      <c r="C22" s="10"/>
      <c r="D22" s="11">
        <f t="shared" si="1"/>
        <v>0</v>
      </c>
      <c r="E22" s="13"/>
      <c r="F22" s="6"/>
      <c r="G22" s="28"/>
      <c r="H22" s="10"/>
      <c r="I22" s="11"/>
      <c r="J22" s="13"/>
      <c r="K22" s="6"/>
      <c r="L22" s="102"/>
      <c r="M22" s="10"/>
      <c r="N22" s="10"/>
      <c r="O22" s="13"/>
      <c r="P22" s="13"/>
      <c r="Q22" s="13"/>
    </row>
    <row r="23" spans="1:17" ht="15.5" x14ac:dyDescent="0.35">
      <c r="A23" s="7" t="s">
        <v>293</v>
      </c>
      <c r="B23" s="28">
        <v>2</v>
      </c>
      <c r="C23" s="10">
        <f>'Ingredient Cost'!D33</f>
        <v>0</v>
      </c>
      <c r="D23" s="11">
        <f t="shared" si="1"/>
        <v>0</v>
      </c>
      <c r="E23" s="13"/>
      <c r="F23" s="7"/>
      <c r="G23" s="12"/>
      <c r="H23" s="10"/>
      <c r="I23" s="10"/>
      <c r="J23" s="13"/>
      <c r="K23" s="7"/>
      <c r="L23" s="12"/>
      <c r="M23" s="10"/>
      <c r="N23" s="10"/>
      <c r="O23" s="13"/>
      <c r="P23" s="13"/>
      <c r="Q23" s="13"/>
    </row>
    <row r="24" spans="1:17" ht="15.5" x14ac:dyDescent="0.35">
      <c r="A24" s="6"/>
      <c r="B24" s="12"/>
      <c r="C24" s="10"/>
      <c r="D24" s="10"/>
      <c r="E24" s="13"/>
      <c r="F24" s="6"/>
      <c r="G24" s="12"/>
      <c r="H24" s="10"/>
      <c r="I24" s="10"/>
      <c r="J24" s="13"/>
      <c r="K24" s="6"/>
      <c r="L24" s="12"/>
      <c r="M24" s="10"/>
      <c r="N24" s="10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5"/>
      <c r="I25" s="14"/>
      <c r="J25" s="13"/>
      <c r="K25" s="13"/>
      <c r="L25" s="13"/>
      <c r="M25" s="15"/>
      <c r="N25" s="14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191.07999999999998</v>
      </c>
      <c r="E26" s="13"/>
      <c r="F26" s="6" t="s">
        <v>0</v>
      </c>
      <c r="G26" s="13"/>
      <c r="H26" s="15"/>
      <c r="I26" s="19">
        <f>SUM(I18:I22)</f>
        <v>4.8000000000000001E-2</v>
      </c>
      <c r="J26" s="13"/>
      <c r="K26" s="6" t="s">
        <v>0</v>
      </c>
      <c r="L26" s="13"/>
      <c r="M26" s="15"/>
      <c r="N26" s="19">
        <f>SUM(N18:N22)</f>
        <v>0.73644137931034481</v>
      </c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6"/>
      <c r="G27" s="13"/>
      <c r="H27" s="15"/>
      <c r="I27" s="19"/>
      <c r="J27" s="22"/>
      <c r="K27" s="6"/>
      <c r="L27" s="13"/>
      <c r="M27" s="15"/>
      <c r="N27" s="19"/>
      <c r="O27" s="13"/>
      <c r="P27" s="13"/>
      <c r="Q27" s="13"/>
    </row>
    <row r="28" spans="1:17" ht="21" customHeight="1" x14ac:dyDescent="0.35">
      <c r="A28" s="7"/>
      <c r="B28" s="250"/>
      <c r="C28" s="250"/>
      <c r="D28" s="250"/>
      <c r="F28" s="99"/>
      <c r="G28" s="22"/>
      <c r="H28" s="22"/>
      <c r="I28" s="98"/>
      <c r="K28" s="99"/>
      <c r="L28" s="22"/>
      <c r="M28" s="22"/>
      <c r="N28" s="98"/>
    </row>
    <row r="29" spans="1:17" ht="21" customHeight="1" x14ac:dyDescent="0.35">
      <c r="A29" s="7"/>
      <c r="B29" s="83"/>
      <c r="C29" s="83"/>
      <c r="D29" s="83"/>
      <c r="F29" s="100"/>
      <c r="G29" s="22"/>
      <c r="H29" s="22"/>
      <c r="I29" s="98"/>
    </row>
    <row r="30" spans="1:17" ht="24.75" customHeight="1" x14ac:dyDescent="0.35">
      <c r="A30" s="7" t="s">
        <v>3</v>
      </c>
      <c r="B30" s="7" t="s">
        <v>262</v>
      </c>
      <c r="C30" s="15"/>
      <c r="D30" s="20"/>
      <c r="E30" s="13"/>
      <c r="F30" s="7"/>
      <c r="G30" s="3"/>
      <c r="H30" s="4"/>
      <c r="I30" s="4"/>
      <c r="J30" s="13"/>
    </row>
    <row r="31" spans="1:17" ht="15.5" x14ac:dyDescent="0.35">
      <c r="A31" s="6"/>
      <c r="B31" s="7" t="s">
        <v>1</v>
      </c>
      <c r="C31" s="8" t="s">
        <v>2</v>
      </c>
      <c r="D31" s="9" t="s">
        <v>4</v>
      </c>
      <c r="E31" s="13"/>
      <c r="F31" s="7"/>
      <c r="G31" s="13"/>
      <c r="H31" s="15"/>
      <c r="I31" s="74"/>
      <c r="J31" s="13"/>
    </row>
    <row r="32" spans="1:17" ht="15.5" x14ac:dyDescent="0.35">
      <c r="A32" s="6" t="s">
        <v>45</v>
      </c>
      <c r="B32" s="28">
        <v>2.7240000000000002</v>
      </c>
      <c r="C32" s="10">
        <f>'Ingredient Cost'!D56</f>
        <v>61.36</v>
      </c>
      <c r="D32" s="11">
        <f>B32*C32</f>
        <v>167.14464000000001</v>
      </c>
      <c r="E32" s="13"/>
      <c r="F32" s="7"/>
      <c r="G32" s="13"/>
      <c r="H32" s="15"/>
      <c r="I32" s="74"/>
      <c r="J32" s="13"/>
    </row>
    <row r="33" spans="1:10" ht="15.5" x14ac:dyDescent="0.35">
      <c r="A33" s="6" t="s">
        <v>264</v>
      </c>
      <c r="B33" s="28">
        <v>1</v>
      </c>
      <c r="C33" s="10">
        <f>'Ingredient Cost'!D86</f>
        <v>0.12</v>
      </c>
      <c r="D33" s="11">
        <f>B33*C33</f>
        <v>0.12</v>
      </c>
      <c r="E33" s="13"/>
      <c r="F33" s="7"/>
      <c r="G33" s="13"/>
      <c r="H33" s="15"/>
      <c r="I33" s="15"/>
      <c r="J33" s="13"/>
    </row>
    <row r="34" spans="1:10" ht="15.5" x14ac:dyDescent="0.35">
      <c r="A34" s="6"/>
      <c r="B34" s="28"/>
      <c r="C34" s="10"/>
      <c r="D34" s="11"/>
      <c r="E34" s="13"/>
      <c r="F34" s="7"/>
      <c r="G34" s="13"/>
      <c r="H34" s="15"/>
      <c r="I34" s="15"/>
      <c r="J34" s="13"/>
    </row>
    <row r="35" spans="1:10" ht="15.5" x14ac:dyDescent="0.35">
      <c r="A35" s="6" t="s">
        <v>140</v>
      </c>
      <c r="B35" s="28">
        <v>35</v>
      </c>
      <c r="C35" s="10">
        <v>15</v>
      </c>
      <c r="D35" s="10">
        <f>C35/B35</f>
        <v>0.42857142857142855</v>
      </c>
      <c r="E35" s="13"/>
      <c r="F35" s="7"/>
      <c r="G35" s="13"/>
      <c r="H35" s="15"/>
      <c r="I35" s="15"/>
      <c r="J35" s="13"/>
    </row>
    <row r="36" spans="1:10" ht="15.5" x14ac:dyDescent="0.35">
      <c r="A36" s="7"/>
      <c r="B36" s="12"/>
      <c r="C36" s="10"/>
      <c r="D36" s="10"/>
      <c r="E36" s="13"/>
      <c r="F36" s="7"/>
      <c r="G36" s="13"/>
      <c r="H36" s="15"/>
      <c r="I36" s="15"/>
      <c r="J36" s="13"/>
    </row>
    <row r="37" spans="1:10" ht="15.5" x14ac:dyDescent="0.35">
      <c r="A37" s="6"/>
      <c r="B37" s="12"/>
      <c r="C37" s="10"/>
      <c r="D37" s="10"/>
      <c r="E37" s="13"/>
      <c r="F37" s="7"/>
      <c r="G37" s="13"/>
      <c r="H37" s="15"/>
      <c r="I37" s="15"/>
      <c r="J37" s="13"/>
    </row>
    <row r="38" spans="1:10" ht="15.5" x14ac:dyDescent="0.35">
      <c r="A38" s="13"/>
      <c r="B38" s="13"/>
      <c r="C38" s="15"/>
      <c r="D38" s="14"/>
      <c r="E38" s="13"/>
      <c r="F38" s="7"/>
      <c r="G38" s="13"/>
      <c r="H38" s="15"/>
      <c r="I38" s="15"/>
      <c r="J38" s="13"/>
    </row>
    <row r="39" spans="1:10" ht="15.5" x14ac:dyDescent="0.35">
      <c r="A39" s="6" t="s">
        <v>0</v>
      </c>
      <c r="B39" s="13"/>
      <c r="C39" s="15"/>
      <c r="D39" s="19">
        <f>SUM(D32:D35)</f>
        <v>167.69321142857143</v>
      </c>
      <c r="E39" s="13"/>
      <c r="F39" s="13"/>
      <c r="G39" s="13"/>
      <c r="H39" s="15"/>
      <c r="I39" s="15"/>
      <c r="J39" s="13"/>
    </row>
    <row r="40" spans="1:10" ht="15.5" x14ac:dyDescent="0.35">
      <c r="A40" s="92"/>
      <c r="B40" s="94"/>
      <c r="C40" s="95"/>
      <c r="D40" s="97"/>
      <c r="E40" s="13"/>
      <c r="F40" s="7"/>
      <c r="G40" s="13"/>
      <c r="H40" s="15"/>
      <c r="I40" s="20"/>
      <c r="J40" s="13"/>
    </row>
    <row r="41" spans="1:10" ht="15.5" x14ac:dyDescent="0.35">
      <c r="A41" s="92"/>
      <c r="B41" s="92"/>
      <c r="C41" s="92"/>
      <c r="D41" s="93"/>
    </row>
    <row r="43" spans="1:10" ht="15.5" x14ac:dyDescent="0.35">
      <c r="A43" s="7"/>
    </row>
  </sheetData>
  <mergeCells count="5">
    <mergeCell ref="B28:D28"/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4"/>
  <sheetViews>
    <sheetView workbookViewId="0">
      <selection activeCell="M19" sqref="M19"/>
    </sheetView>
  </sheetViews>
  <sheetFormatPr defaultRowHeight="12.5" x14ac:dyDescent="0.25"/>
  <cols>
    <col min="1" max="1" width="19.1796875" customWidth="1"/>
    <col min="5" max="5" width="11.453125" customWidth="1"/>
    <col min="6" max="6" width="19.1796875" customWidth="1"/>
    <col min="11" max="11" width="18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154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33" customHeight="1" x14ac:dyDescent="0.35">
      <c r="A16" s="7" t="s">
        <v>3</v>
      </c>
      <c r="B16" s="7" t="s">
        <v>242</v>
      </c>
      <c r="C16" s="15"/>
      <c r="D16" s="20"/>
      <c r="E16" s="13"/>
      <c r="F16" s="7" t="s">
        <v>3</v>
      </c>
      <c r="G16" s="250" t="s">
        <v>243</v>
      </c>
      <c r="H16" s="250"/>
      <c r="I16" s="250"/>
      <c r="J16" s="22"/>
      <c r="K16" s="7" t="s">
        <v>3</v>
      </c>
      <c r="L16" s="7" t="s">
        <v>246</v>
      </c>
      <c r="M16" s="15"/>
      <c r="N16" s="20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13"/>
      <c r="K17" s="6"/>
      <c r="L17" s="7" t="s">
        <v>1</v>
      </c>
      <c r="M17" s="8" t="s">
        <v>2</v>
      </c>
      <c r="N17" s="9" t="s">
        <v>4</v>
      </c>
      <c r="O17" s="13"/>
      <c r="P17" s="13"/>
      <c r="Q17" s="13"/>
    </row>
    <row r="18" spans="1:17" ht="15.5" x14ac:dyDescent="0.35">
      <c r="A18" s="6" t="s">
        <v>76</v>
      </c>
      <c r="B18" s="28">
        <v>8.7999999999999995E-2</v>
      </c>
      <c r="C18" s="10">
        <f>'Ingredient Cost'!D50</f>
        <v>56.25</v>
      </c>
      <c r="D18" s="11">
        <f>B18*C18</f>
        <v>4.9499999999999993</v>
      </c>
      <c r="E18" s="13"/>
      <c r="F18" s="6" t="s">
        <v>244</v>
      </c>
      <c r="G18" s="28">
        <v>1</v>
      </c>
      <c r="H18" s="10">
        <f>D26</f>
        <v>5.3012999999999986</v>
      </c>
      <c r="I18" s="11">
        <f>G18*H18</f>
        <v>5.3012999999999986</v>
      </c>
      <c r="J18" s="13"/>
      <c r="K18" s="6" t="s">
        <v>247</v>
      </c>
      <c r="L18" s="28">
        <v>12</v>
      </c>
      <c r="M18" s="10">
        <f>D26</f>
        <v>5.3012999999999986</v>
      </c>
      <c r="N18" s="11">
        <f>L18*M18</f>
        <v>63.615599999999986</v>
      </c>
      <c r="O18" s="13"/>
      <c r="P18" s="13"/>
      <c r="Q18" s="13"/>
    </row>
    <row r="19" spans="1:17" ht="15.5" x14ac:dyDescent="0.35">
      <c r="A19" s="6" t="s">
        <v>240</v>
      </c>
      <c r="B19" s="28">
        <v>1</v>
      </c>
      <c r="C19" s="10">
        <f>'Ingredient Cost'!D16</f>
        <v>0.27</v>
      </c>
      <c r="D19" s="11">
        <f>B19*C19</f>
        <v>0.27</v>
      </c>
      <c r="E19" s="13"/>
      <c r="F19" s="6" t="s">
        <v>245</v>
      </c>
      <c r="G19" s="28">
        <v>1</v>
      </c>
      <c r="H19" s="10">
        <v>0.02</v>
      </c>
      <c r="I19" s="11">
        <f>G19*H19</f>
        <v>0.02</v>
      </c>
      <c r="J19" s="13"/>
      <c r="K19" s="6" t="s">
        <v>139</v>
      </c>
      <c r="L19" s="28">
        <v>6</v>
      </c>
      <c r="M19" s="10">
        <f>'Ingredient Cost'!D88</f>
        <v>0.09</v>
      </c>
      <c r="N19" s="11">
        <f>SUM(L19*M19)</f>
        <v>0.54</v>
      </c>
      <c r="O19" s="13"/>
      <c r="P19" s="13"/>
      <c r="Q19" s="13"/>
    </row>
    <row r="20" spans="1:17" ht="15.5" x14ac:dyDescent="0.35">
      <c r="A20" s="6" t="s">
        <v>59</v>
      </c>
      <c r="B20" s="28">
        <v>0.01</v>
      </c>
      <c r="C20" s="10">
        <f>'Ingredient Cost'!D17</f>
        <v>1.26</v>
      </c>
      <c r="D20" s="11">
        <f>B20*C20</f>
        <v>1.26E-2</v>
      </c>
      <c r="E20" s="13"/>
      <c r="F20" s="6" t="s">
        <v>140</v>
      </c>
      <c r="G20" s="28">
        <v>240</v>
      </c>
      <c r="H20" s="10">
        <v>15</v>
      </c>
      <c r="I20" s="11">
        <f>H20/G20</f>
        <v>6.25E-2</v>
      </c>
      <c r="J20" s="13"/>
      <c r="K20" s="6" t="s">
        <v>66</v>
      </c>
      <c r="L20" s="28">
        <v>1</v>
      </c>
      <c r="M20" s="10">
        <f>'Ingredient Cost'!D108</f>
        <v>0.2</v>
      </c>
      <c r="N20" s="10">
        <f>L20*M20</f>
        <v>0.2</v>
      </c>
      <c r="O20" s="13"/>
      <c r="P20" s="13"/>
      <c r="Q20" s="13"/>
    </row>
    <row r="21" spans="1:17" ht="15.5" x14ac:dyDescent="0.35">
      <c r="A21" s="6" t="s">
        <v>241</v>
      </c>
      <c r="B21" s="28">
        <v>0.01</v>
      </c>
      <c r="C21" s="10">
        <f>'Ingredient Cost'!D7</f>
        <v>0.62</v>
      </c>
      <c r="D21" s="11">
        <f>B21*C21</f>
        <v>6.1999999999999998E-3</v>
      </c>
      <c r="E21" s="13"/>
      <c r="F21" s="6"/>
      <c r="G21" s="28"/>
      <c r="H21" s="10"/>
      <c r="I21" s="11"/>
      <c r="J21" s="13"/>
      <c r="K21" s="7" t="s">
        <v>67</v>
      </c>
      <c r="L21" s="28"/>
      <c r="M21" s="10">
        <v>7.0000000000000007E-2</v>
      </c>
      <c r="N21" s="10">
        <f>M21</f>
        <v>7.0000000000000007E-2</v>
      </c>
      <c r="O21" s="13"/>
      <c r="P21" s="13"/>
      <c r="Q21" s="13"/>
    </row>
    <row r="22" spans="1:17" ht="15.5" x14ac:dyDescent="0.35">
      <c r="A22" s="6" t="s">
        <v>140</v>
      </c>
      <c r="B22" s="28">
        <v>240</v>
      </c>
      <c r="C22" s="10">
        <v>15</v>
      </c>
      <c r="D22" s="10">
        <f>C22/B22</f>
        <v>6.25E-2</v>
      </c>
      <c r="E22" s="13"/>
      <c r="F22" s="6"/>
      <c r="G22" s="28"/>
      <c r="H22" s="10"/>
      <c r="I22" s="10"/>
      <c r="J22" s="13"/>
      <c r="K22" s="7" t="s">
        <v>140</v>
      </c>
      <c r="L22" s="28">
        <v>20</v>
      </c>
      <c r="M22" s="10">
        <v>15</v>
      </c>
      <c r="N22" s="10">
        <f>M22/L22</f>
        <v>0.75</v>
      </c>
      <c r="O22" s="13"/>
      <c r="P22" s="13"/>
      <c r="Q22" s="13"/>
    </row>
    <row r="23" spans="1:17" ht="15.5" x14ac:dyDescent="0.35">
      <c r="A23" s="7"/>
      <c r="B23" s="12"/>
      <c r="C23" s="10"/>
      <c r="D23" s="10"/>
      <c r="E23" s="13"/>
      <c r="F23" s="7"/>
      <c r="G23" s="12"/>
      <c r="H23" s="10"/>
      <c r="I23" s="10"/>
      <c r="J23" s="13"/>
      <c r="K23" s="7"/>
      <c r="L23" s="12"/>
      <c r="M23" s="10"/>
      <c r="N23" s="10"/>
      <c r="O23" s="13"/>
      <c r="P23" s="13"/>
      <c r="Q23" s="13"/>
    </row>
    <row r="24" spans="1:17" ht="15.5" x14ac:dyDescent="0.35">
      <c r="A24" s="6"/>
      <c r="B24" s="12"/>
      <c r="C24" s="10"/>
      <c r="D24" s="10"/>
      <c r="E24" s="13"/>
      <c r="F24" s="6"/>
      <c r="G24" s="12"/>
      <c r="H24" s="10"/>
      <c r="I24" s="10"/>
      <c r="J24" s="13"/>
      <c r="K24" s="6"/>
      <c r="L24" s="12"/>
      <c r="M24" s="10"/>
      <c r="N24" s="10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5"/>
      <c r="I25" s="14"/>
      <c r="J25" s="13"/>
      <c r="K25" s="13"/>
      <c r="L25" s="13"/>
      <c r="M25" s="15"/>
      <c r="N25" s="14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5.3012999999999986</v>
      </c>
      <c r="E26" s="13"/>
      <c r="F26" s="6" t="s">
        <v>0</v>
      </c>
      <c r="G26" s="13"/>
      <c r="H26" s="15"/>
      <c r="I26" s="19">
        <f>SUM(I18:I22)</f>
        <v>5.3837999999999981</v>
      </c>
      <c r="J26" s="13"/>
      <c r="K26" s="6" t="s">
        <v>0</v>
      </c>
      <c r="L26" s="13"/>
      <c r="M26" s="15"/>
      <c r="N26" s="19">
        <f>SUM(N18:N22)</f>
        <v>65.175599999999989</v>
      </c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6"/>
      <c r="G27" s="13"/>
      <c r="H27" s="15"/>
      <c r="I27" s="19"/>
      <c r="J27" s="22"/>
      <c r="K27" s="6" t="s">
        <v>248</v>
      </c>
      <c r="L27" s="13"/>
      <c r="M27" s="15"/>
      <c r="N27" s="19">
        <f>N26/6</f>
        <v>10.862599999999999</v>
      </c>
      <c r="O27" s="13"/>
      <c r="P27" s="13"/>
      <c r="Q27" s="13"/>
    </row>
    <row r="28" spans="1:17" ht="21" customHeight="1" x14ac:dyDescent="0.35">
      <c r="A28" s="7"/>
      <c r="B28" s="250"/>
      <c r="C28" s="250"/>
      <c r="D28" s="250"/>
      <c r="F28" s="99"/>
      <c r="G28" s="22"/>
      <c r="H28" s="22"/>
      <c r="I28" s="98"/>
      <c r="K28" s="99"/>
      <c r="L28" s="22"/>
      <c r="M28" s="22"/>
      <c r="N28" s="98"/>
    </row>
    <row r="29" spans="1:17" ht="21" customHeight="1" x14ac:dyDescent="0.35">
      <c r="A29" s="7"/>
      <c r="B29" s="83"/>
      <c r="C29" s="83"/>
      <c r="D29" s="83"/>
      <c r="F29" s="100"/>
      <c r="G29" s="22"/>
      <c r="H29" s="22"/>
      <c r="I29" s="98"/>
    </row>
    <row r="30" spans="1:17" ht="34.5" customHeight="1" x14ac:dyDescent="0.35">
      <c r="A30" s="92"/>
      <c r="B30" s="260"/>
      <c r="C30" s="260"/>
      <c r="D30" s="260"/>
      <c r="E30" s="13"/>
      <c r="F30" s="7"/>
      <c r="G30" s="3"/>
      <c r="H30" s="4"/>
      <c r="I30" s="4"/>
      <c r="J30" s="13"/>
    </row>
    <row r="31" spans="1:17" ht="15.5" x14ac:dyDescent="0.35">
      <c r="A31" s="92"/>
      <c r="B31" s="92"/>
      <c r="C31" s="93"/>
      <c r="D31" s="93"/>
      <c r="E31" s="13"/>
      <c r="F31" s="7"/>
      <c r="G31" s="13"/>
      <c r="H31" s="15"/>
      <c r="I31" s="74"/>
      <c r="J31" s="13"/>
    </row>
    <row r="32" spans="1:17" ht="15.5" x14ac:dyDescent="0.35">
      <c r="A32" s="92"/>
      <c r="B32" s="94"/>
      <c r="C32" s="95"/>
      <c r="D32" s="96"/>
      <c r="E32" s="13"/>
      <c r="F32" s="7"/>
      <c r="G32" s="13"/>
      <c r="H32" s="15"/>
      <c r="I32" s="74"/>
      <c r="J32" s="13"/>
    </row>
    <row r="33" spans="1:10" ht="15.5" x14ac:dyDescent="0.35">
      <c r="A33" s="92"/>
      <c r="B33" s="94"/>
      <c r="C33" s="95"/>
      <c r="D33" s="96"/>
      <c r="E33" s="13"/>
      <c r="F33" s="7"/>
      <c r="G33" s="13"/>
      <c r="H33" s="15"/>
      <c r="I33" s="15"/>
      <c r="J33" s="13"/>
    </row>
    <row r="34" spans="1:10" ht="15.5" x14ac:dyDescent="0.35">
      <c r="A34" s="92"/>
      <c r="B34" s="94"/>
      <c r="C34" s="95"/>
      <c r="D34" s="95"/>
      <c r="E34" s="13"/>
      <c r="F34" s="7"/>
      <c r="G34" s="13"/>
      <c r="H34" s="15"/>
      <c r="I34" s="15"/>
      <c r="J34" s="13"/>
    </row>
    <row r="35" spans="1:10" ht="15.5" x14ac:dyDescent="0.35">
      <c r="A35" s="92"/>
      <c r="B35" s="94"/>
      <c r="C35" s="95"/>
      <c r="D35" s="95"/>
      <c r="E35" s="13"/>
      <c r="F35" s="7"/>
      <c r="G35" s="13"/>
      <c r="H35" s="15"/>
      <c r="I35" s="15"/>
      <c r="J35" s="13"/>
    </row>
    <row r="36" spans="1:10" ht="15.5" x14ac:dyDescent="0.35">
      <c r="A36" s="92"/>
      <c r="B36" s="94"/>
      <c r="C36" s="95"/>
      <c r="D36" s="95"/>
      <c r="E36" s="13"/>
      <c r="F36" s="7"/>
      <c r="G36" s="13"/>
      <c r="H36" s="15"/>
      <c r="I36" s="15"/>
      <c r="J36" s="13"/>
    </row>
    <row r="37" spans="1:10" ht="15.5" x14ac:dyDescent="0.35">
      <c r="A37" s="92"/>
      <c r="B37" s="94"/>
      <c r="C37" s="95"/>
      <c r="D37" s="95"/>
      <c r="E37" s="13"/>
      <c r="F37" s="7"/>
      <c r="G37" s="13"/>
      <c r="H37" s="15"/>
      <c r="I37" s="15"/>
      <c r="J37" s="13"/>
    </row>
    <row r="38" spans="1:10" ht="15.5" x14ac:dyDescent="0.35">
      <c r="A38" s="92"/>
      <c r="B38" s="94"/>
      <c r="C38" s="95"/>
      <c r="D38" s="95"/>
      <c r="E38" s="13"/>
      <c r="F38" s="7"/>
      <c r="G38" s="13"/>
      <c r="H38" s="15"/>
      <c r="I38" s="15"/>
      <c r="J38" s="13"/>
    </row>
    <row r="39" spans="1:10" ht="15.5" x14ac:dyDescent="0.35">
      <c r="A39" s="92"/>
      <c r="B39" s="94"/>
      <c r="C39" s="95"/>
      <c r="D39" s="95"/>
      <c r="E39" s="13"/>
      <c r="F39" s="7"/>
      <c r="G39" s="13"/>
      <c r="H39" s="15"/>
      <c r="I39" s="15"/>
      <c r="J39" s="13"/>
    </row>
    <row r="40" spans="1:10" ht="13" x14ac:dyDescent="0.3">
      <c r="A40" s="94"/>
      <c r="B40" s="94"/>
      <c r="C40" s="95"/>
      <c r="D40" s="95"/>
      <c r="E40" s="13"/>
      <c r="F40" s="13"/>
      <c r="G40" s="13"/>
      <c r="H40" s="15"/>
      <c r="I40" s="15"/>
      <c r="J40" s="13"/>
    </row>
    <row r="41" spans="1:10" ht="15.5" x14ac:dyDescent="0.35">
      <c r="A41" s="92"/>
      <c r="B41" s="94"/>
      <c r="C41" s="95"/>
      <c r="D41" s="97"/>
      <c r="E41" s="13"/>
      <c r="F41" s="7"/>
      <c r="G41" s="13"/>
      <c r="H41" s="15"/>
      <c r="I41" s="20"/>
      <c r="J41" s="13"/>
    </row>
    <row r="42" spans="1:10" ht="15.5" x14ac:dyDescent="0.35">
      <c r="A42" s="92"/>
      <c r="B42" s="92"/>
      <c r="C42" s="92"/>
      <c r="D42" s="93"/>
    </row>
    <row r="44" spans="1:10" ht="15.5" x14ac:dyDescent="0.35">
      <c r="A44" s="7"/>
    </row>
  </sheetData>
  <mergeCells count="7">
    <mergeCell ref="B30:D30"/>
    <mergeCell ref="G16:I16"/>
    <mergeCell ref="A1:Q1"/>
    <mergeCell ref="A2:Q2"/>
    <mergeCell ref="A3:E3"/>
    <mergeCell ref="B4:H14"/>
    <mergeCell ref="B28:D28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9"/>
  <sheetViews>
    <sheetView topLeftCell="A27" workbookViewId="0">
      <selection activeCell="C42" sqref="C42"/>
    </sheetView>
  </sheetViews>
  <sheetFormatPr defaultRowHeight="12.5" x14ac:dyDescent="0.25"/>
  <cols>
    <col min="1" max="1" width="23" customWidth="1"/>
    <col min="5" max="5" width="11.453125" customWidth="1"/>
    <col min="6" max="7" width="19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225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7" t="s">
        <v>3</v>
      </c>
      <c r="B16" s="7" t="s">
        <v>225</v>
      </c>
      <c r="C16" s="15"/>
      <c r="D16" s="20"/>
      <c r="E16" s="13"/>
      <c r="F16" s="22"/>
      <c r="G16" s="7" t="s">
        <v>3</v>
      </c>
      <c r="H16" s="7" t="s">
        <v>237</v>
      </c>
      <c r="I16" s="15"/>
      <c r="J16" s="20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6"/>
      <c r="H17" s="7" t="s">
        <v>1</v>
      </c>
      <c r="I17" s="8" t="s">
        <v>2</v>
      </c>
      <c r="J17" s="9" t="s">
        <v>4</v>
      </c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85</v>
      </c>
      <c r="B18" s="28">
        <v>5</v>
      </c>
      <c r="C18" s="10">
        <f>'Ingredient Cost'!D32</f>
        <v>13.5</v>
      </c>
      <c r="D18" s="11">
        <f>B18*C18</f>
        <v>67.5</v>
      </c>
      <c r="E18" s="13"/>
      <c r="F18" s="6"/>
      <c r="G18" s="6" t="s">
        <v>85</v>
      </c>
      <c r="H18" s="28">
        <v>5</v>
      </c>
      <c r="I18" s="10">
        <f>'Ingredient Cost'!D32</f>
        <v>13.5</v>
      </c>
      <c r="J18" s="11">
        <f>H18*I18</f>
        <v>67.5</v>
      </c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100</v>
      </c>
      <c r="B19" s="28">
        <v>3.5</v>
      </c>
      <c r="C19" s="10">
        <f>'Ingredient Cost'!D30</f>
        <v>1.02</v>
      </c>
      <c r="D19" s="11">
        <f>B19*C19</f>
        <v>3.5700000000000003</v>
      </c>
      <c r="E19" s="13"/>
      <c r="F19" s="6"/>
      <c r="G19" s="6" t="s">
        <v>100</v>
      </c>
      <c r="H19" s="28">
        <v>3.5</v>
      </c>
      <c r="I19" s="10">
        <f>C19</f>
        <v>1.02</v>
      </c>
      <c r="J19" s="11">
        <f>H19*I19</f>
        <v>3.5700000000000003</v>
      </c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232</v>
      </c>
      <c r="B20" s="28">
        <v>1</v>
      </c>
      <c r="C20" s="10">
        <f>'Ingredient Cost'!D34</f>
        <v>5.27</v>
      </c>
      <c r="D20" s="10">
        <f>B20*C20</f>
        <v>5.27</v>
      </c>
      <c r="E20" s="13"/>
      <c r="F20" s="6"/>
      <c r="G20" s="6" t="s">
        <v>232</v>
      </c>
      <c r="H20" s="28">
        <v>1</v>
      </c>
      <c r="I20" s="10">
        <f>C20</f>
        <v>5.27</v>
      </c>
      <c r="J20" s="10">
        <f>H20*I20</f>
        <v>5.27</v>
      </c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4</v>
      </c>
      <c r="B21" s="28">
        <f>SUM(B18:B20)</f>
        <v>9.5</v>
      </c>
      <c r="C21" s="10"/>
      <c r="D21" s="10">
        <f>SUM(D18:D20)</f>
        <v>76.339999999999989</v>
      </c>
      <c r="E21" s="13"/>
      <c r="F21" s="7"/>
      <c r="G21" s="7" t="s">
        <v>87</v>
      </c>
      <c r="H21" s="28">
        <v>0.02</v>
      </c>
      <c r="I21" s="10">
        <f>'Ingredient Cost'!D35</f>
        <v>9.4</v>
      </c>
      <c r="J21" s="10">
        <f>H21*I21</f>
        <v>0.188</v>
      </c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236</v>
      </c>
      <c r="B22" s="28"/>
      <c r="C22" s="10"/>
      <c r="D22" s="10">
        <f>D21/B21</f>
        <v>8.0357894736842095</v>
      </c>
      <c r="E22" s="13"/>
      <c r="F22" s="7"/>
      <c r="G22" s="7" t="s">
        <v>4</v>
      </c>
      <c r="H22" s="28">
        <f>SUM(H18:H21)</f>
        <v>9.52</v>
      </c>
      <c r="I22" s="10"/>
      <c r="J22" s="10">
        <f>SUM(J18:J21)</f>
        <v>76.527999999999992</v>
      </c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225</v>
      </c>
      <c r="B23" s="28">
        <v>0.47499999999999998</v>
      </c>
      <c r="C23" s="10">
        <f>D22</f>
        <v>8.0357894736842095</v>
      </c>
      <c r="D23" s="10">
        <f>B23*C23</f>
        <v>3.8169999999999993</v>
      </c>
      <c r="E23" s="13"/>
      <c r="F23" s="7"/>
      <c r="G23" s="7" t="s">
        <v>238</v>
      </c>
      <c r="H23" s="28"/>
      <c r="I23" s="10"/>
      <c r="J23" s="10">
        <f>J22/H22</f>
        <v>8.0386554621848738</v>
      </c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 t="s">
        <v>234</v>
      </c>
      <c r="B24" s="28">
        <v>1</v>
      </c>
      <c r="C24" s="10">
        <f>'Ingredient Cost'!D102</f>
        <v>0.23</v>
      </c>
      <c r="D24" s="10">
        <f t="shared" ref="D24:D26" si="0">B24*C24</f>
        <v>0.23</v>
      </c>
      <c r="E24" s="13"/>
      <c r="F24" s="7"/>
      <c r="G24" s="7" t="s">
        <v>239</v>
      </c>
      <c r="H24" s="28">
        <v>0.47499999999999998</v>
      </c>
      <c r="I24" s="10">
        <f>J23</f>
        <v>8.0386554621848738</v>
      </c>
      <c r="J24" s="10">
        <f>H24*I24</f>
        <v>3.8183613445378151</v>
      </c>
      <c r="K24" s="22"/>
      <c r="L24" s="22"/>
      <c r="M24" s="13"/>
      <c r="N24" s="13"/>
      <c r="O24" s="13"/>
      <c r="P24" s="13"/>
      <c r="Q24" s="13"/>
    </row>
    <row r="25" spans="1:17" ht="15.5" x14ac:dyDescent="0.35">
      <c r="A25" s="7" t="s">
        <v>235</v>
      </c>
      <c r="B25" s="28">
        <v>1</v>
      </c>
      <c r="C25" s="10">
        <f>'Ingredient Cost'!D103</f>
        <v>6.0000000000000001E-3</v>
      </c>
      <c r="D25" s="10">
        <f t="shared" si="0"/>
        <v>6.0000000000000001E-3</v>
      </c>
      <c r="E25" s="13"/>
      <c r="F25" s="7"/>
      <c r="G25" s="7" t="s">
        <v>234</v>
      </c>
      <c r="H25" s="28">
        <v>1</v>
      </c>
      <c r="I25" s="10">
        <f>C24</f>
        <v>0.23</v>
      </c>
      <c r="J25" s="10">
        <f t="shared" ref="J25:J27" si="1">H25*I25</f>
        <v>0.23</v>
      </c>
      <c r="K25" s="22"/>
      <c r="L25" s="22"/>
      <c r="M25" s="13"/>
      <c r="N25" s="13"/>
      <c r="O25" s="13"/>
      <c r="P25" s="13"/>
      <c r="Q25" s="13"/>
    </row>
    <row r="26" spans="1:17" ht="15.5" x14ac:dyDescent="0.35">
      <c r="A26" s="7" t="s">
        <v>67</v>
      </c>
      <c r="B26" s="28">
        <v>1</v>
      </c>
      <c r="C26" s="10">
        <v>0.01</v>
      </c>
      <c r="D26" s="10">
        <f t="shared" si="0"/>
        <v>0.01</v>
      </c>
      <c r="E26" s="13"/>
      <c r="F26" s="7"/>
      <c r="G26" s="7" t="s">
        <v>67</v>
      </c>
      <c r="H26" s="28">
        <v>1</v>
      </c>
      <c r="I26" s="10">
        <v>0.01</v>
      </c>
      <c r="J26" s="10">
        <f t="shared" si="1"/>
        <v>0.01</v>
      </c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 t="s">
        <v>140</v>
      </c>
      <c r="B27" s="28">
        <v>60</v>
      </c>
      <c r="C27" s="10">
        <v>15</v>
      </c>
      <c r="D27" s="10">
        <f>C27/B27</f>
        <v>0.25</v>
      </c>
      <c r="E27" s="13"/>
      <c r="F27" s="7"/>
      <c r="G27" s="7" t="s">
        <v>235</v>
      </c>
      <c r="H27" s="28">
        <v>1</v>
      </c>
      <c r="I27" s="10">
        <f>C25</f>
        <v>6.0000000000000001E-3</v>
      </c>
      <c r="J27" s="10">
        <f t="shared" si="1"/>
        <v>6.0000000000000001E-3</v>
      </c>
      <c r="K27" s="22"/>
      <c r="L27" s="22"/>
      <c r="M27" s="13"/>
      <c r="N27" s="13"/>
      <c r="O27" s="13"/>
      <c r="P27" s="13"/>
      <c r="Q27" s="13"/>
    </row>
    <row r="28" spans="1:17" ht="15.5" x14ac:dyDescent="0.35">
      <c r="A28" s="7"/>
      <c r="B28" s="12"/>
      <c r="C28" s="10"/>
      <c r="D28" s="10"/>
      <c r="E28" s="13"/>
      <c r="F28" s="7"/>
      <c r="G28" s="7" t="s">
        <v>140</v>
      </c>
      <c r="H28" s="28">
        <v>60</v>
      </c>
      <c r="I28" s="10">
        <v>15</v>
      </c>
      <c r="J28" s="10">
        <f>I28/H28</f>
        <v>0.25</v>
      </c>
      <c r="K28" s="22"/>
      <c r="L28" s="22"/>
      <c r="M28" s="13"/>
      <c r="N28" s="13"/>
      <c r="O28" s="13"/>
      <c r="P28" s="13"/>
      <c r="Q28" s="13"/>
    </row>
    <row r="29" spans="1:17" ht="15.5" x14ac:dyDescent="0.35">
      <c r="A29" s="13"/>
      <c r="B29" s="13"/>
      <c r="C29" s="15"/>
      <c r="D29" s="14"/>
      <c r="E29" s="13"/>
      <c r="F29" s="13"/>
      <c r="G29" s="7"/>
      <c r="H29" s="12"/>
      <c r="I29" s="10"/>
      <c r="J29" s="10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6" t="s">
        <v>0</v>
      </c>
      <c r="B30" s="13"/>
      <c r="C30" s="15"/>
      <c r="D30" s="19">
        <f>SUM(D23:D27)</f>
        <v>4.3129999999999997</v>
      </c>
      <c r="E30" s="13"/>
      <c r="F30" s="6"/>
      <c r="G30" s="13"/>
      <c r="H30" s="13"/>
      <c r="I30" s="15"/>
      <c r="J30" s="14"/>
      <c r="K30" s="22"/>
      <c r="L30" s="22"/>
      <c r="M30" s="13"/>
      <c r="N30" s="13"/>
      <c r="O30" s="13"/>
      <c r="P30" s="13"/>
      <c r="Q30" s="13"/>
    </row>
    <row r="31" spans="1:17" ht="15.5" x14ac:dyDescent="0.35">
      <c r="A31" s="7"/>
      <c r="B31" s="13"/>
      <c r="C31" s="15"/>
      <c r="D31" s="20"/>
      <c r="E31" s="13"/>
      <c r="F31" s="21"/>
      <c r="G31" s="6" t="s">
        <v>0</v>
      </c>
      <c r="H31" s="13"/>
      <c r="I31" s="15"/>
      <c r="J31" s="19">
        <f>SUM(J24:J28)</f>
        <v>4.3143613445378151</v>
      </c>
      <c r="K31" s="22"/>
      <c r="L31" s="22"/>
      <c r="M31" s="13"/>
      <c r="N31" s="13"/>
      <c r="O31" s="13"/>
      <c r="P31" s="13"/>
      <c r="Q31" s="13"/>
    </row>
    <row r="32" spans="1:17" ht="38.25" customHeight="1" x14ac:dyDescent="0.35">
      <c r="A32" s="7"/>
      <c r="B32" s="250"/>
      <c r="C32" s="250"/>
      <c r="D32" s="250"/>
    </row>
    <row r="33" spans="1:10" ht="15.5" x14ac:dyDescent="0.35">
      <c r="A33" s="6" t="s">
        <v>378</v>
      </c>
      <c r="B33" s="78"/>
      <c r="C33" s="8"/>
      <c r="D33" s="9"/>
      <c r="E33" s="13"/>
      <c r="F33" s="7"/>
      <c r="G33" s="3"/>
      <c r="H33" s="4"/>
      <c r="I33" s="4"/>
      <c r="J33" s="13"/>
    </row>
    <row r="34" spans="1:10" ht="15.5" x14ac:dyDescent="0.35">
      <c r="A34" s="6"/>
      <c r="B34" s="7" t="s">
        <v>1</v>
      </c>
      <c r="C34" s="8" t="s">
        <v>2</v>
      </c>
      <c r="D34" s="9" t="s">
        <v>4</v>
      </c>
      <c r="E34" s="13"/>
      <c r="F34" s="7"/>
      <c r="G34" s="5"/>
      <c r="H34" s="4"/>
      <c r="I34" s="4"/>
      <c r="J34" s="13"/>
    </row>
    <row r="35" spans="1:10" ht="15.5" x14ac:dyDescent="0.35">
      <c r="A35" s="7" t="s">
        <v>214</v>
      </c>
      <c r="B35" s="28">
        <v>12</v>
      </c>
      <c r="C35" s="10">
        <f>D30</f>
        <v>4.3129999999999997</v>
      </c>
      <c r="D35" s="10">
        <f t="shared" ref="D35" si="2">B35*C35</f>
        <v>51.756</v>
      </c>
      <c r="E35" s="13"/>
      <c r="F35" s="7"/>
      <c r="G35" s="5"/>
      <c r="H35" s="4"/>
      <c r="I35" s="4"/>
      <c r="J35" s="13"/>
    </row>
    <row r="36" spans="1:10" ht="15.5" x14ac:dyDescent="0.35">
      <c r="A36" s="6" t="s">
        <v>66</v>
      </c>
      <c r="B36" s="28">
        <v>1</v>
      </c>
      <c r="C36" s="10">
        <f>'Ingredient Cost'!D108</f>
        <v>0.2</v>
      </c>
      <c r="D36" s="11">
        <f>B36*C36</f>
        <v>0.2</v>
      </c>
      <c r="E36" s="13"/>
      <c r="F36" s="7"/>
      <c r="G36" s="7"/>
      <c r="H36" s="8"/>
      <c r="I36" s="8"/>
      <c r="J36" s="13"/>
    </row>
    <row r="37" spans="1:10" ht="15.5" x14ac:dyDescent="0.35">
      <c r="A37" s="6" t="s">
        <v>67</v>
      </c>
      <c r="B37" s="91">
        <v>1</v>
      </c>
      <c r="C37" s="10">
        <v>0.01</v>
      </c>
      <c r="D37" s="11">
        <f>C37/B37</f>
        <v>0.01</v>
      </c>
      <c r="E37" s="13"/>
      <c r="F37" s="7"/>
      <c r="G37" s="13"/>
      <c r="H37" s="15"/>
      <c r="I37" s="74"/>
      <c r="J37" s="13"/>
    </row>
    <row r="38" spans="1:10" ht="15.5" x14ac:dyDescent="0.35">
      <c r="A38" s="6" t="s">
        <v>140</v>
      </c>
      <c r="B38" s="91">
        <v>20</v>
      </c>
      <c r="C38" s="10">
        <v>15</v>
      </c>
      <c r="D38" s="11">
        <f>C38/B38</f>
        <v>0.75</v>
      </c>
      <c r="E38" s="13"/>
      <c r="F38" s="7"/>
      <c r="G38" s="13"/>
      <c r="H38" s="15"/>
      <c r="I38" s="74"/>
      <c r="J38" s="13"/>
    </row>
    <row r="39" spans="1:10" ht="15.5" x14ac:dyDescent="0.35">
      <c r="A39" s="22"/>
      <c r="B39" s="91"/>
      <c r="C39" s="91"/>
      <c r="D39" s="91"/>
      <c r="E39" s="13"/>
      <c r="F39" s="7"/>
      <c r="G39" s="13"/>
      <c r="H39" s="15"/>
      <c r="I39" s="15"/>
      <c r="J39" s="13"/>
    </row>
    <row r="40" spans="1:10" ht="15.5" x14ac:dyDescent="0.35">
      <c r="A40" s="22"/>
      <c r="B40" s="91"/>
      <c r="C40" s="91"/>
      <c r="D40" s="91"/>
      <c r="E40" s="13"/>
      <c r="F40" s="7"/>
      <c r="G40" s="13"/>
      <c r="H40" s="15"/>
      <c r="I40" s="15"/>
      <c r="J40" s="13"/>
    </row>
    <row r="41" spans="1:10" ht="15.5" x14ac:dyDescent="0.35">
      <c r="A41" s="22"/>
      <c r="B41" s="12"/>
      <c r="C41" s="10"/>
      <c r="D41" s="10"/>
      <c r="E41" s="13"/>
      <c r="F41" s="7"/>
      <c r="G41" s="13"/>
      <c r="H41" s="15"/>
      <c r="I41" s="15"/>
      <c r="J41" s="13"/>
    </row>
    <row r="42" spans="1:10" ht="15.5" x14ac:dyDescent="0.35">
      <c r="A42" s="22"/>
      <c r="B42" s="22"/>
      <c r="C42" s="22"/>
      <c r="D42" s="22"/>
      <c r="E42" s="13"/>
      <c r="F42" s="7"/>
      <c r="G42" s="13"/>
      <c r="H42" s="15"/>
      <c r="I42" s="15"/>
      <c r="J42" s="13"/>
    </row>
    <row r="43" spans="1:10" ht="15.5" x14ac:dyDescent="0.35">
      <c r="A43" s="6" t="s">
        <v>0</v>
      </c>
      <c r="B43" s="13"/>
      <c r="C43" s="15"/>
      <c r="D43" s="19">
        <f>SUM(D35:D41)</f>
        <v>52.716000000000001</v>
      </c>
      <c r="E43" s="13"/>
      <c r="F43" s="7"/>
      <c r="G43" s="13"/>
      <c r="H43" s="15"/>
      <c r="I43" s="15"/>
      <c r="J43" s="13"/>
    </row>
    <row r="44" spans="1:10" ht="15.5" x14ac:dyDescent="0.35">
      <c r="A44" s="13"/>
      <c r="B44" s="13"/>
      <c r="C44" s="15"/>
      <c r="D44" s="14"/>
      <c r="E44" s="13"/>
      <c r="F44" s="7"/>
      <c r="G44" s="13"/>
      <c r="H44" s="15"/>
      <c r="I44" s="15"/>
      <c r="J44" s="13"/>
    </row>
    <row r="45" spans="1:10" ht="15.5" x14ac:dyDescent="0.35">
      <c r="A45" s="6"/>
      <c r="B45" s="13"/>
      <c r="C45" s="15"/>
      <c r="D45" s="19"/>
      <c r="E45" s="13"/>
      <c r="F45" s="13"/>
      <c r="G45" s="13"/>
      <c r="H45" s="15"/>
      <c r="I45" s="15"/>
      <c r="J45" s="13"/>
    </row>
    <row r="46" spans="1:10" ht="15.5" x14ac:dyDescent="0.35">
      <c r="A46" s="7"/>
      <c r="B46" s="13"/>
      <c r="C46" s="15"/>
      <c r="D46" s="20"/>
      <c r="E46" s="13"/>
      <c r="F46" s="7"/>
      <c r="G46" s="13"/>
      <c r="H46" s="15"/>
      <c r="I46" s="20"/>
      <c r="J46" s="13"/>
    </row>
    <row r="49" spans="1:1" ht="15.5" x14ac:dyDescent="0.35">
      <c r="A49" s="7"/>
    </row>
  </sheetData>
  <mergeCells count="5">
    <mergeCell ref="A1:Q1"/>
    <mergeCell ref="A2:Q2"/>
    <mergeCell ref="A3:E3"/>
    <mergeCell ref="B4:H14"/>
    <mergeCell ref="B32:D32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85"/>
  <sheetViews>
    <sheetView workbookViewId="0">
      <selection activeCell="B30" sqref="B30"/>
    </sheetView>
  </sheetViews>
  <sheetFormatPr defaultRowHeight="12.5" x14ac:dyDescent="0.25"/>
  <cols>
    <col min="1" max="1" width="19.81640625" customWidth="1"/>
    <col min="2" max="2" width="13.453125" customWidth="1"/>
    <col min="3" max="3" width="15" customWidth="1"/>
    <col min="4" max="4" width="17.1796875" customWidth="1"/>
    <col min="6" max="6" width="20.54296875" customWidth="1"/>
    <col min="7" max="7" width="11.1796875" customWidth="1"/>
    <col min="8" max="8" width="9.81640625" customWidth="1"/>
    <col min="9" max="9" width="14.1796875" customWidth="1"/>
    <col min="10" max="10" width="9.1796875" customWidth="1"/>
    <col min="11" max="11" width="12.81640625" customWidth="1"/>
    <col min="13" max="13" width="18.1796875" customWidth="1"/>
    <col min="14" max="14" width="10.1796875" customWidth="1"/>
  </cols>
  <sheetData>
    <row r="1" spans="1:14" ht="33.5" x14ac:dyDescent="0.25">
      <c r="A1" s="237" t="s">
        <v>27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4" ht="33" x14ac:dyDescent="0.55000000000000004">
      <c r="A2" s="52" t="s">
        <v>29</v>
      </c>
      <c r="B2" s="50"/>
      <c r="C2" s="51"/>
      <c r="D2" s="2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3.5" x14ac:dyDescent="0.55000000000000004">
      <c r="A3" s="34"/>
      <c r="B3" s="35"/>
      <c r="C3" s="36"/>
      <c r="D3" s="37"/>
      <c r="E3" s="33"/>
      <c r="F3" s="34"/>
      <c r="G3" s="35"/>
      <c r="H3" s="36"/>
      <c r="I3" s="37"/>
      <c r="J3" s="33"/>
      <c r="K3" s="33"/>
      <c r="L3" s="33"/>
      <c r="M3" s="33"/>
      <c r="N3" s="33"/>
    </row>
    <row r="4" spans="1:14" ht="14.25" customHeight="1" x14ac:dyDescent="0.35">
      <c r="A4" s="7" t="s">
        <v>3</v>
      </c>
      <c r="B4" s="47" t="s">
        <v>162</v>
      </c>
      <c r="C4" s="48"/>
      <c r="D4" s="49"/>
      <c r="E4" s="33"/>
      <c r="F4" s="7" t="s">
        <v>3</v>
      </c>
      <c r="G4" s="47" t="s">
        <v>163</v>
      </c>
      <c r="H4" s="48"/>
      <c r="I4" s="49"/>
      <c r="J4" s="33"/>
      <c r="K4" s="33"/>
      <c r="L4" s="33"/>
      <c r="M4" s="33"/>
      <c r="N4" s="33"/>
    </row>
    <row r="5" spans="1:14" ht="13.5" customHeight="1" x14ac:dyDescent="0.35">
      <c r="A5" s="6" t="s">
        <v>7</v>
      </c>
      <c r="B5" s="3" t="s">
        <v>26</v>
      </c>
      <c r="C5" s="4"/>
      <c r="D5" s="18"/>
      <c r="E5" s="7"/>
      <c r="F5" s="6" t="s">
        <v>7</v>
      </c>
      <c r="G5" s="3" t="s">
        <v>26</v>
      </c>
      <c r="H5" s="4"/>
      <c r="I5" s="18"/>
      <c r="J5" s="33"/>
      <c r="K5" s="33"/>
      <c r="L5" s="33"/>
      <c r="M5" s="33"/>
      <c r="N5" s="33"/>
    </row>
    <row r="6" spans="1:14" ht="15.5" x14ac:dyDescent="0.35">
      <c r="A6" s="6"/>
      <c r="B6" s="7" t="s">
        <v>1</v>
      </c>
      <c r="C6" s="8" t="s">
        <v>2</v>
      </c>
      <c r="D6" s="9" t="s">
        <v>4</v>
      </c>
      <c r="E6" s="5"/>
      <c r="F6" s="6"/>
      <c r="G6" s="7" t="s">
        <v>1</v>
      </c>
      <c r="H6" s="8" t="s">
        <v>2</v>
      </c>
      <c r="I6" s="9" t="s">
        <v>4</v>
      </c>
      <c r="J6" s="33"/>
      <c r="K6" s="33"/>
      <c r="L6" s="33"/>
      <c r="M6" s="33"/>
      <c r="N6" s="33"/>
    </row>
    <row r="7" spans="1:14" ht="15.5" x14ac:dyDescent="0.35">
      <c r="A7" s="6" t="s">
        <v>10</v>
      </c>
      <c r="B7" s="28">
        <v>2.5</v>
      </c>
      <c r="C7" s="10"/>
      <c r="D7" s="11"/>
      <c r="E7" s="5"/>
      <c r="F7" s="6" t="s">
        <v>10</v>
      </c>
      <c r="G7" s="28">
        <v>2.5</v>
      </c>
      <c r="H7" s="10"/>
      <c r="I7" s="11"/>
      <c r="J7" s="33"/>
      <c r="K7" s="33"/>
      <c r="L7" s="33"/>
      <c r="M7" s="33"/>
      <c r="N7" s="33"/>
    </row>
    <row r="8" spans="1:14" ht="15.5" x14ac:dyDescent="0.35">
      <c r="A8" s="6" t="s">
        <v>13</v>
      </c>
      <c r="B8" s="28">
        <v>4</v>
      </c>
      <c r="C8" s="10">
        <f>'Ingredient Cost'!$D$6</f>
        <v>2.06</v>
      </c>
      <c r="D8" s="11">
        <f>B8*C8</f>
        <v>8.24</v>
      </c>
      <c r="E8" s="5"/>
      <c r="F8" s="6" t="s">
        <v>13</v>
      </c>
      <c r="G8" s="28">
        <v>4</v>
      </c>
      <c r="H8" s="10">
        <f>'Ingredient Cost'!$D$6</f>
        <v>2.06</v>
      </c>
      <c r="I8" s="11">
        <f>G8*H8</f>
        <v>8.24</v>
      </c>
      <c r="J8" s="33"/>
      <c r="K8" s="33"/>
      <c r="L8" s="33"/>
      <c r="M8" s="13"/>
      <c r="N8" s="15"/>
    </row>
    <row r="9" spans="1:14" ht="15.5" x14ac:dyDescent="0.35">
      <c r="A9" s="6" t="s">
        <v>14</v>
      </c>
      <c r="B9" s="28">
        <v>8</v>
      </c>
      <c r="C9" s="10">
        <f>'Ingredient Cost'!$D$7</f>
        <v>0.62</v>
      </c>
      <c r="D9" s="10">
        <f>B9*C9</f>
        <v>4.96</v>
      </c>
      <c r="E9" s="5"/>
      <c r="F9" s="6" t="s">
        <v>14</v>
      </c>
      <c r="G9" s="28">
        <v>8</v>
      </c>
      <c r="H9" s="10">
        <f>'Ingredient Cost'!$D$7</f>
        <v>0.62</v>
      </c>
      <c r="I9" s="10">
        <f>G9*H9</f>
        <v>4.96</v>
      </c>
      <c r="J9" s="33"/>
      <c r="K9" s="33"/>
      <c r="L9" s="33"/>
      <c r="M9" s="13"/>
      <c r="N9" s="15"/>
    </row>
    <row r="10" spans="1:14" ht="15.5" x14ac:dyDescent="0.35">
      <c r="A10" s="7" t="s">
        <v>15</v>
      </c>
      <c r="B10" s="28">
        <v>0.15</v>
      </c>
      <c r="C10" s="10">
        <f>'Ingredient Cost'!$D$8</f>
        <v>0.54</v>
      </c>
      <c r="D10" s="10">
        <f>B10*C10</f>
        <v>8.1000000000000003E-2</v>
      </c>
      <c r="E10" s="5"/>
      <c r="F10" s="7" t="s">
        <v>15</v>
      </c>
      <c r="G10" s="28">
        <v>0.15</v>
      </c>
      <c r="H10" s="10">
        <f>'Ingredient Cost'!$D$8</f>
        <v>0.54</v>
      </c>
      <c r="I10" s="10">
        <f>G10*H10</f>
        <v>8.1000000000000003E-2</v>
      </c>
      <c r="J10" s="33"/>
      <c r="K10" s="33"/>
      <c r="L10" s="33"/>
      <c r="M10" s="13"/>
      <c r="N10" s="15"/>
    </row>
    <row r="11" spans="1:14" ht="15.5" x14ac:dyDescent="0.35">
      <c r="A11" s="7"/>
      <c r="B11" s="12"/>
      <c r="C11" s="10"/>
      <c r="D11" s="10"/>
      <c r="E11" s="5"/>
      <c r="F11" s="7"/>
      <c r="G11" s="12"/>
      <c r="H11" s="10"/>
      <c r="I11" s="10"/>
      <c r="J11" s="33"/>
      <c r="K11" s="33"/>
      <c r="L11" s="33"/>
      <c r="M11" s="13"/>
      <c r="N11" s="15"/>
    </row>
    <row r="12" spans="1:14" ht="15.5" x14ac:dyDescent="0.35">
      <c r="A12" s="6" t="s">
        <v>28</v>
      </c>
      <c r="B12" s="12">
        <f>B7+B8+B9+B10</f>
        <v>14.65</v>
      </c>
      <c r="C12" s="10"/>
      <c r="D12" s="10">
        <f>SUM(D7:D10)</f>
        <v>13.280999999999999</v>
      </c>
      <c r="E12" s="5"/>
      <c r="F12" s="6" t="s">
        <v>28</v>
      </c>
      <c r="G12" s="12">
        <f>G7+G8+G9+G10</f>
        <v>14.65</v>
      </c>
      <c r="H12" s="10"/>
      <c r="I12" s="10">
        <f>SUM(I7:I10)</f>
        <v>13.280999999999999</v>
      </c>
      <c r="J12" s="33"/>
      <c r="K12" s="33"/>
      <c r="L12" s="33"/>
      <c r="M12" s="13"/>
      <c r="N12" s="15"/>
    </row>
    <row r="13" spans="1:14" ht="15.5" x14ac:dyDescent="0.35">
      <c r="A13" s="13"/>
      <c r="B13" s="13"/>
      <c r="C13" s="15"/>
      <c r="D13" s="14"/>
      <c r="E13" s="5"/>
      <c r="F13" s="13"/>
      <c r="G13" s="13"/>
      <c r="H13" s="15"/>
      <c r="I13" s="14"/>
      <c r="J13" s="33"/>
      <c r="K13" s="33"/>
      <c r="L13" s="33"/>
      <c r="M13" s="13"/>
      <c r="N13" s="15"/>
    </row>
    <row r="14" spans="1:14" ht="15.5" x14ac:dyDescent="0.35">
      <c r="A14" s="6" t="s">
        <v>0</v>
      </c>
      <c r="B14" s="13"/>
      <c r="C14" s="15"/>
      <c r="D14" s="19">
        <f>D12/B12</f>
        <v>0.90655290102389063</v>
      </c>
      <c r="E14" s="5"/>
      <c r="F14" s="6" t="s">
        <v>0</v>
      </c>
      <c r="G14" s="13"/>
      <c r="H14" s="15"/>
      <c r="I14" s="19">
        <f>I12/G12</f>
        <v>0.90655290102389063</v>
      </c>
      <c r="J14" s="33"/>
      <c r="K14" s="33"/>
      <c r="L14" s="33"/>
      <c r="M14" s="33"/>
      <c r="N14" s="33"/>
    </row>
    <row r="15" spans="1:14" ht="15.5" x14ac:dyDescent="0.35">
      <c r="A15" s="5"/>
      <c r="B15" s="5"/>
      <c r="C15" s="5"/>
      <c r="D15" s="4"/>
      <c r="E15" s="5"/>
      <c r="F15" s="5"/>
      <c r="G15" s="13"/>
      <c r="H15" s="13"/>
      <c r="I15" s="15"/>
      <c r="J15" s="33"/>
      <c r="K15" s="33"/>
      <c r="L15" s="33"/>
      <c r="M15" s="33"/>
      <c r="N15" s="33"/>
    </row>
    <row r="16" spans="1:14" ht="15.5" x14ac:dyDescent="0.35">
      <c r="A16" s="5" t="s">
        <v>164</v>
      </c>
      <c r="B16" s="5">
        <v>150</v>
      </c>
      <c r="C16" s="5"/>
      <c r="D16" s="4"/>
      <c r="E16" s="5"/>
      <c r="F16" s="5" t="s">
        <v>30</v>
      </c>
      <c r="G16" s="13">
        <v>225</v>
      </c>
      <c r="H16" s="13"/>
      <c r="I16" s="15"/>
      <c r="J16" s="33"/>
      <c r="K16" s="33"/>
      <c r="L16" s="33"/>
      <c r="M16" s="33"/>
      <c r="N16" s="33"/>
    </row>
    <row r="17" spans="1:14" ht="15.5" x14ac:dyDescent="0.35">
      <c r="A17" s="5" t="s">
        <v>165</v>
      </c>
      <c r="B17" s="5">
        <v>106</v>
      </c>
      <c r="C17" s="5"/>
      <c r="D17" s="4"/>
      <c r="E17" s="5"/>
      <c r="F17" s="5" t="s">
        <v>166</v>
      </c>
      <c r="G17" s="13">
        <v>120</v>
      </c>
      <c r="H17" s="13"/>
      <c r="I17" s="15"/>
      <c r="J17" s="33"/>
      <c r="K17" s="33"/>
      <c r="L17" s="33"/>
      <c r="M17" s="33"/>
      <c r="N17" s="33"/>
    </row>
    <row r="18" spans="1:14" ht="15.5" x14ac:dyDescent="0.35">
      <c r="A18" s="5" t="s">
        <v>43</v>
      </c>
      <c r="B18" s="5">
        <v>65</v>
      </c>
      <c r="C18" s="5"/>
      <c r="D18" s="4"/>
      <c r="E18" s="5"/>
      <c r="F18" s="5" t="s">
        <v>42</v>
      </c>
      <c r="G18" s="13">
        <v>70</v>
      </c>
      <c r="H18" s="13"/>
      <c r="I18" s="15"/>
      <c r="J18" s="33"/>
      <c r="K18" s="33"/>
      <c r="L18" s="33"/>
      <c r="M18" s="33"/>
      <c r="N18" s="33"/>
    </row>
    <row r="19" spans="1:14" ht="15.5" x14ac:dyDescent="0.35">
      <c r="A19" s="5"/>
      <c r="B19" s="5"/>
      <c r="C19" s="5"/>
      <c r="D19" s="4"/>
      <c r="E19" s="5"/>
      <c r="F19" s="5" t="s">
        <v>32</v>
      </c>
      <c r="G19" s="13">
        <v>30</v>
      </c>
      <c r="H19" s="13"/>
      <c r="I19" s="15"/>
      <c r="J19" s="33"/>
      <c r="K19" s="33"/>
      <c r="L19" s="33"/>
      <c r="M19" s="33"/>
      <c r="N19" s="33"/>
    </row>
    <row r="20" spans="1:14" ht="15.5" x14ac:dyDescent="0.35">
      <c r="A20" s="5"/>
      <c r="B20" s="5"/>
      <c r="C20" s="5"/>
      <c r="D20" s="4"/>
      <c r="E20" s="5"/>
      <c r="F20" s="5" t="s">
        <v>43</v>
      </c>
      <c r="G20" s="13">
        <v>24</v>
      </c>
      <c r="H20" s="13"/>
      <c r="I20" s="15"/>
      <c r="J20" s="33"/>
      <c r="K20" s="33"/>
      <c r="L20" s="33"/>
      <c r="M20" s="33"/>
      <c r="N20" s="33"/>
    </row>
    <row r="21" spans="1:14" ht="16" thickBot="1" x14ac:dyDescent="0.4">
      <c r="A21" s="5"/>
      <c r="B21" s="5"/>
      <c r="C21" s="5"/>
      <c r="D21" s="4"/>
      <c r="E21" s="5"/>
      <c r="F21" s="5"/>
      <c r="G21" s="40"/>
      <c r="H21" s="15"/>
      <c r="I21" s="15"/>
      <c r="J21" s="33"/>
      <c r="K21" s="33"/>
      <c r="L21" s="33"/>
      <c r="M21" s="33"/>
      <c r="N21" s="33"/>
    </row>
    <row r="22" spans="1:14" ht="29.25" customHeight="1" x14ac:dyDescent="0.35">
      <c r="A22" s="66" t="s">
        <v>39</v>
      </c>
      <c r="B22" s="60" t="s">
        <v>34</v>
      </c>
      <c r="C22" s="60" t="s">
        <v>33</v>
      </c>
      <c r="D22" s="53" t="s">
        <v>35</v>
      </c>
      <c r="E22" s="62" t="s">
        <v>36</v>
      </c>
      <c r="F22" s="64" t="s">
        <v>37</v>
      </c>
      <c r="G22" s="61"/>
      <c r="H22" s="61"/>
      <c r="I22" s="67"/>
      <c r="J22" s="61"/>
      <c r="K22" s="61"/>
      <c r="L22" s="33"/>
      <c r="M22" s="33"/>
      <c r="N22" s="33"/>
    </row>
    <row r="23" spans="1:14" ht="15.5" x14ac:dyDescent="0.35">
      <c r="A23" s="55" t="s">
        <v>30</v>
      </c>
      <c r="B23" s="57">
        <v>6.5000000000000002E-2</v>
      </c>
      <c r="C23" s="54">
        <f>B23*I14</f>
        <v>5.8925938566552892E-2</v>
      </c>
      <c r="D23" s="58">
        <v>0.02</v>
      </c>
      <c r="E23" s="63">
        <f>D23*I14</f>
        <v>1.8131058020477812E-2</v>
      </c>
      <c r="F23" s="65">
        <f>C23+E23</f>
        <v>7.7056996587030704E-2</v>
      </c>
      <c r="G23" s="56"/>
      <c r="H23" s="68"/>
      <c r="I23" s="69"/>
      <c r="J23" s="68"/>
      <c r="K23" s="70"/>
      <c r="L23" s="33"/>
      <c r="M23" s="33"/>
      <c r="N23" s="33"/>
    </row>
    <row r="24" spans="1:14" ht="15.5" x14ac:dyDescent="0.35">
      <c r="A24" s="55" t="s">
        <v>167</v>
      </c>
      <c r="B24" s="57">
        <v>0.12</v>
      </c>
      <c r="C24" s="54">
        <f>B24*I14</f>
        <v>0.10878634812286687</v>
      </c>
      <c r="D24" s="58">
        <v>0.04</v>
      </c>
      <c r="E24" s="63">
        <f>D24*I14</f>
        <v>3.6262116040955625E-2</v>
      </c>
      <c r="F24" s="65">
        <f>C24+E24</f>
        <v>0.1450484641638225</v>
      </c>
      <c r="G24" s="56"/>
      <c r="H24" s="68"/>
      <c r="I24" s="69"/>
      <c r="J24" s="68"/>
      <c r="K24" s="70"/>
      <c r="L24" s="33"/>
      <c r="M24" s="33"/>
      <c r="N24" s="33"/>
    </row>
    <row r="25" spans="1:14" ht="15.5" x14ac:dyDescent="0.35">
      <c r="A25" s="55" t="s">
        <v>31</v>
      </c>
      <c r="B25" s="57">
        <v>0.21</v>
      </c>
      <c r="C25" s="54">
        <f>B25*I14</f>
        <v>0.19037610921501702</v>
      </c>
      <c r="D25" s="59">
        <v>0.06</v>
      </c>
      <c r="E25" s="63">
        <f>D25*I14</f>
        <v>5.4393174061433437E-2</v>
      </c>
      <c r="F25" s="65">
        <f>C25+E25</f>
        <v>0.24476928327645045</v>
      </c>
      <c r="G25" s="56"/>
      <c r="H25" s="68"/>
      <c r="I25" s="56"/>
      <c r="J25" s="68"/>
      <c r="K25" s="70"/>
      <c r="L25" s="33"/>
      <c r="M25" s="33"/>
      <c r="N25" s="33"/>
    </row>
    <row r="26" spans="1:14" ht="15.5" x14ac:dyDescent="0.35">
      <c r="A26" s="55" t="s">
        <v>32</v>
      </c>
      <c r="B26" s="57">
        <v>0.44500000000000001</v>
      </c>
      <c r="C26" s="54">
        <f>B26*I14</f>
        <v>0.40341604095563133</v>
      </c>
      <c r="D26" s="59">
        <v>0.06</v>
      </c>
      <c r="E26" s="63">
        <f>D26*I14</f>
        <v>5.4393174061433437E-2</v>
      </c>
      <c r="F26" s="65">
        <f>C26+E26</f>
        <v>0.45780921501706479</v>
      </c>
      <c r="G26" s="56"/>
      <c r="H26" s="68"/>
      <c r="I26" s="56"/>
      <c r="J26" s="68"/>
      <c r="K26" s="70"/>
      <c r="L26" s="33"/>
      <c r="M26" s="33"/>
      <c r="N26" s="33"/>
    </row>
    <row r="27" spans="1:14" ht="15.5" x14ac:dyDescent="0.35">
      <c r="A27" s="55" t="s">
        <v>38</v>
      </c>
      <c r="B27" s="57">
        <v>0.44500000000000001</v>
      </c>
      <c r="C27" s="54">
        <f>B27*I14</f>
        <v>0.40341604095563133</v>
      </c>
      <c r="D27" s="59">
        <v>0.16500000000000001</v>
      </c>
      <c r="E27" s="63">
        <f>D27*I14</f>
        <v>0.14958122866894197</v>
      </c>
      <c r="F27" s="65">
        <f>C27+E27</f>
        <v>0.5529972696245733</v>
      </c>
      <c r="G27" s="56"/>
      <c r="H27" s="68"/>
      <c r="I27" s="56"/>
      <c r="J27" s="68"/>
      <c r="K27" s="70"/>
      <c r="L27" s="33"/>
      <c r="M27" s="33"/>
      <c r="N27" s="33"/>
    </row>
    <row r="28" spans="1:14" ht="21.5" thickBot="1" x14ac:dyDescent="0.55000000000000004">
      <c r="A28" s="38"/>
      <c r="B28" s="39"/>
      <c r="C28" s="5"/>
      <c r="D28" s="4"/>
      <c r="E28" s="33"/>
      <c r="F28" s="38"/>
      <c r="G28" s="39"/>
      <c r="H28" s="5"/>
      <c r="I28" s="4"/>
      <c r="J28" s="33"/>
      <c r="K28" s="33"/>
      <c r="L28" s="33"/>
      <c r="M28" s="13"/>
      <c r="N28" s="15"/>
    </row>
    <row r="29" spans="1:14" ht="31" x14ac:dyDescent="0.35">
      <c r="A29" s="66" t="s">
        <v>40</v>
      </c>
      <c r="B29" s="60" t="s">
        <v>34</v>
      </c>
      <c r="C29" s="60" t="s">
        <v>33</v>
      </c>
      <c r="D29" s="53" t="s">
        <v>35</v>
      </c>
      <c r="E29" s="62" t="s">
        <v>36</v>
      </c>
      <c r="F29" s="64" t="s">
        <v>37</v>
      </c>
      <c r="G29" s="5"/>
      <c r="H29" s="5"/>
      <c r="I29" s="4"/>
      <c r="J29" s="33"/>
      <c r="K29" s="33"/>
      <c r="L29" s="33"/>
      <c r="M29" s="33"/>
      <c r="N29" s="33"/>
    </row>
    <row r="30" spans="1:14" ht="15.5" x14ac:dyDescent="0.35">
      <c r="A30" s="55" t="s">
        <v>41</v>
      </c>
      <c r="B30" s="57">
        <v>9.7000000000000003E-2</v>
      </c>
      <c r="C30" s="54">
        <f>B30*D14</f>
        <v>8.7935631399317399E-2</v>
      </c>
      <c r="D30" s="58">
        <v>0.04</v>
      </c>
      <c r="E30" s="63">
        <f>D30*C37</f>
        <v>0.1228590588235294</v>
      </c>
      <c r="F30" s="65">
        <f>C30+E30</f>
        <v>0.2107946902228468</v>
      </c>
      <c r="G30" s="5"/>
      <c r="H30" s="4"/>
      <c r="I30" s="4"/>
      <c r="J30" s="33"/>
      <c r="K30" s="33"/>
      <c r="L30" s="33"/>
      <c r="M30" s="33"/>
      <c r="N30" s="33"/>
    </row>
    <row r="31" spans="1:14" ht="15.5" x14ac:dyDescent="0.35">
      <c r="A31" s="55" t="s">
        <v>42</v>
      </c>
      <c r="B31" s="57">
        <v>0.13800000000000001</v>
      </c>
      <c r="C31" s="54">
        <f>B31*D14</f>
        <v>0.12510430034129691</v>
      </c>
      <c r="D31" s="59">
        <v>0.08</v>
      </c>
      <c r="E31" s="63">
        <f>D31*H37</f>
        <v>0.21631</v>
      </c>
      <c r="F31" s="65">
        <f t="shared" ref="F31:F32" si="0">C31+E31</f>
        <v>0.34141430034129694</v>
      </c>
      <c r="G31" s="13"/>
      <c r="H31" s="15"/>
      <c r="I31" s="15"/>
      <c r="J31" s="33"/>
      <c r="K31" s="33"/>
      <c r="L31" s="41"/>
      <c r="M31" s="13"/>
      <c r="N31" s="15"/>
    </row>
    <row r="32" spans="1:14" ht="15.5" x14ac:dyDescent="0.35">
      <c r="A32" s="55" t="s">
        <v>43</v>
      </c>
      <c r="B32" s="57">
        <v>0.22500000000000001</v>
      </c>
      <c r="C32" s="54">
        <f>B32*D14</f>
        <v>0.2039744027303754</v>
      </c>
      <c r="D32" s="59">
        <v>0.16500000000000001</v>
      </c>
      <c r="E32" s="63">
        <f>D32*'Ingredient Cost'!D9</f>
        <v>0.3201</v>
      </c>
      <c r="F32" s="65">
        <f t="shared" si="0"/>
        <v>0.52407440273037542</v>
      </c>
      <c r="G32" s="13"/>
      <c r="H32" s="15"/>
      <c r="I32" s="15"/>
      <c r="J32" s="33"/>
      <c r="K32" s="33"/>
      <c r="L32" s="33"/>
      <c r="M32" s="13"/>
      <c r="N32" s="15"/>
    </row>
    <row r="33" spans="1:14" ht="15.5" x14ac:dyDescent="0.35">
      <c r="A33" s="5"/>
      <c r="B33" s="13"/>
      <c r="C33" s="15"/>
      <c r="D33" s="15"/>
      <c r="E33" s="33"/>
      <c r="F33" s="5"/>
      <c r="G33" s="13"/>
      <c r="H33" s="15"/>
      <c r="I33" s="15"/>
      <c r="J33" s="33"/>
      <c r="K33" s="33"/>
      <c r="L33" s="33"/>
      <c r="M33" s="33"/>
      <c r="N33" s="33"/>
    </row>
    <row r="34" spans="1:14" ht="15.5" x14ac:dyDescent="0.35">
      <c r="A34" s="5"/>
      <c r="B34" s="13"/>
      <c r="C34" s="15"/>
      <c r="D34" s="15"/>
      <c r="E34" s="33"/>
      <c r="F34" s="5"/>
      <c r="G34" s="13"/>
      <c r="H34" s="15"/>
      <c r="I34" s="15"/>
      <c r="J34" s="33"/>
      <c r="K34" s="33"/>
      <c r="L34" s="33"/>
      <c r="M34" s="33"/>
      <c r="N34" s="33"/>
    </row>
    <row r="35" spans="1:14" ht="22.5" customHeight="1" x14ac:dyDescent="0.35">
      <c r="A35" s="121" t="s">
        <v>411</v>
      </c>
      <c r="B35" s="16" t="s">
        <v>1</v>
      </c>
      <c r="C35" s="43" t="s">
        <v>2</v>
      </c>
      <c r="D35" s="43" t="s">
        <v>4</v>
      </c>
      <c r="E35" s="33"/>
      <c r="F35" s="121" t="s">
        <v>413</v>
      </c>
      <c r="G35" s="16" t="s">
        <v>1</v>
      </c>
      <c r="H35" s="43" t="s">
        <v>2</v>
      </c>
      <c r="I35" s="43" t="s">
        <v>4</v>
      </c>
      <c r="J35" s="33"/>
      <c r="K35" s="121" t="s">
        <v>415</v>
      </c>
      <c r="L35" s="16" t="s">
        <v>1</v>
      </c>
      <c r="M35" s="43" t="s">
        <v>2</v>
      </c>
      <c r="N35" s="43" t="s">
        <v>4</v>
      </c>
    </row>
    <row r="36" spans="1:14" ht="31" x14ac:dyDescent="0.35">
      <c r="A36" s="111" t="s">
        <v>410</v>
      </c>
      <c r="B36" s="12">
        <v>10.766</v>
      </c>
      <c r="C36" s="10">
        <f>'Ingredient Cost'!D9</f>
        <v>1.94</v>
      </c>
      <c r="D36" s="11">
        <f>B36*C36</f>
        <v>20.886039999999998</v>
      </c>
      <c r="E36" s="33"/>
      <c r="F36" s="111" t="s">
        <v>410</v>
      </c>
      <c r="G36" s="12">
        <v>10.704000000000001</v>
      </c>
      <c r="H36" s="10">
        <f>C36</f>
        <v>1.94</v>
      </c>
      <c r="I36" s="11">
        <f>G36*H36</f>
        <v>20.76576</v>
      </c>
      <c r="J36" s="33"/>
      <c r="K36" s="111" t="s">
        <v>410</v>
      </c>
      <c r="L36" s="12">
        <v>10.832000000000001</v>
      </c>
      <c r="M36" s="10">
        <f>H36</f>
        <v>1.94</v>
      </c>
      <c r="N36" s="11">
        <f>L36*M36</f>
        <v>21.01408</v>
      </c>
    </row>
    <row r="37" spans="1:14" ht="15.5" x14ac:dyDescent="0.35">
      <c r="A37" s="16" t="s">
        <v>412</v>
      </c>
      <c r="B37" s="12">
        <f>0.04*170</f>
        <v>6.8</v>
      </c>
      <c r="C37" s="10">
        <f>D36/B37</f>
        <v>3.0714764705882351</v>
      </c>
      <c r="D37" s="11">
        <f>B37*C37</f>
        <v>20.886039999999998</v>
      </c>
      <c r="E37" s="33"/>
      <c r="F37" s="16" t="s">
        <v>414</v>
      </c>
      <c r="G37" s="12">
        <f>0.08*96</f>
        <v>7.68</v>
      </c>
      <c r="H37" s="10">
        <f>I36/G37</f>
        <v>2.703875</v>
      </c>
      <c r="I37" s="11">
        <f>G37*H37</f>
        <v>20.76576</v>
      </c>
      <c r="J37" s="33"/>
      <c r="K37" s="16" t="s">
        <v>416</v>
      </c>
      <c r="L37" s="12">
        <f>0.04*36</f>
        <v>1.44</v>
      </c>
      <c r="M37" s="10">
        <f>N40</f>
        <v>2.6007524752475248</v>
      </c>
      <c r="N37" s="11">
        <f>L37*M37</f>
        <v>3.7450835643564355</v>
      </c>
    </row>
    <row r="38" spans="1:14" ht="15.5" x14ac:dyDescent="0.35">
      <c r="A38" s="122" t="s">
        <v>385</v>
      </c>
      <c r="B38" s="57">
        <v>3.0459999999999998</v>
      </c>
      <c r="C38" s="54">
        <f>C36</f>
        <v>1.94</v>
      </c>
      <c r="D38" s="11">
        <f>B38*C38</f>
        <v>5.9092399999999996</v>
      </c>
      <c r="E38" s="33"/>
      <c r="F38" s="122" t="s">
        <v>385</v>
      </c>
      <c r="G38" s="57">
        <v>2.98</v>
      </c>
      <c r="H38" s="54">
        <f>H36</f>
        <v>1.94</v>
      </c>
      <c r="I38" s="11">
        <f>G38*H38</f>
        <v>5.7812000000000001</v>
      </c>
      <c r="J38" s="33"/>
      <c r="K38" s="122" t="s">
        <v>417</v>
      </c>
      <c r="L38" s="57">
        <f>0.08*83</f>
        <v>6.6400000000000006</v>
      </c>
      <c r="M38" s="54">
        <f>N40</f>
        <v>2.6007524752475248</v>
      </c>
      <c r="N38" s="11">
        <f>L38*M38</f>
        <v>17.268996435643565</v>
      </c>
    </row>
    <row r="39" spans="1:14" ht="15.5" x14ac:dyDescent="0.35">
      <c r="A39" s="13"/>
      <c r="B39" s="13"/>
      <c r="C39" s="13"/>
      <c r="D39" s="15"/>
      <c r="E39" s="33"/>
      <c r="F39" s="13"/>
      <c r="G39" s="13"/>
      <c r="H39" s="13"/>
      <c r="I39" s="15"/>
      <c r="J39" s="33"/>
      <c r="K39" s="122" t="s">
        <v>385</v>
      </c>
      <c r="L39" s="57">
        <v>2.36</v>
      </c>
      <c r="M39" s="54">
        <f>M36</f>
        <v>1.94</v>
      </c>
      <c r="N39" s="11">
        <f>L39*M39</f>
        <v>4.5783999999999994</v>
      </c>
    </row>
    <row r="40" spans="1:14" ht="13" x14ac:dyDescent="0.3">
      <c r="A40" s="13"/>
      <c r="B40" s="13"/>
      <c r="C40" s="13"/>
      <c r="D40" s="15"/>
      <c r="E40" s="33"/>
      <c r="F40" s="33"/>
      <c r="G40" s="33"/>
      <c r="H40" s="33"/>
      <c r="I40" s="33"/>
      <c r="J40" s="33"/>
      <c r="K40" s="13"/>
      <c r="L40" s="13"/>
      <c r="M40" s="13"/>
      <c r="N40" s="15">
        <f>N36/(L37+L38)</f>
        <v>2.6007524752475248</v>
      </c>
    </row>
    <row r="41" spans="1:14" ht="13" x14ac:dyDescent="0.3">
      <c r="A41" s="13"/>
      <c r="B41" s="13"/>
      <c r="C41" s="13"/>
      <c r="D41" s="15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spans="1:14" ht="13" x14ac:dyDescent="0.3">
      <c r="A42" s="13"/>
      <c r="B42" s="13"/>
      <c r="C42" s="13"/>
      <c r="D42" s="13"/>
      <c r="E42" s="33"/>
      <c r="F42" s="33"/>
      <c r="G42" s="33"/>
      <c r="H42" s="33"/>
      <c r="I42" s="33"/>
      <c r="J42" s="33"/>
      <c r="K42" s="33"/>
      <c r="L42" s="33"/>
      <c r="M42" s="33"/>
      <c r="N42" s="33"/>
    </row>
    <row r="43" spans="1:14" ht="13" x14ac:dyDescent="0.3">
      <c r="A43" s="13"/>
      <c r="B43" s="13"/>
      <c r="C43" s="13"/>
      <c r="D43" s="1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spans="1:14" ht="21" x14ac:dyDescent="0.5">
      <c r="A44" s="38"/>
      <c r="B44" s="38"/>
      <c r="C44" s="5"/>
      <c r="D44" s="4"/>
      <c r="E44" s="33"/>
      <c r="F44" s="38"/>
      <c r="G44" s="38"/>
      <c r="H44" s="5"/>
      <c r="I44" s="4"/>
      <c r="J44" s="33"/>
      <c r="K44" s="33"/>
      <c r="L44" s="33"/>
      <c r="M44" s="33"/>
      <c r="N44" s="33"/>
    </row>
    <row r="45" spans="1:14" ht="21" x14ac:dyDescent="0.5">
      <c r="A45" s="38"/>
      <c r="B45" s="38"/>
      <c r="C45" s="3"/>
      <c r="D45" s="4"/>
      <c r="E45" s="33"/>
      <c r="F45" s="38"/>
      <c r="G45" s="38"/>
      <c r="H45" s="3"/>
      <c r="I45" s="4"/>
      <c r="J45" s="33"/>
      <c r="K45" s="33"/>
      <c r="L45" s="33"/>
      <c r="M45" s="33"/>
      <c r="N45" s="33"/>
    </row>
    <row r="46" spans="1:14" ht="21" x14ac:dyDescent="0.5">
      <c r="A46" s="38"/>
      <c r="B46" s="39"/>
      <c r="C46" s="5"/>
      <c r="D46" s="4"/>
      <c r="E46" s="33"/>
      <c r="F46" s="38"/>
      <c r="G46" s="39"/>
      <c r="H46" s="5"/>
      <c r="I46" s="4"/>
      <c r="J46" s="33"/>
      <c r="K46" s="33"/>
      <c r="L46" s="33"/>
      <c r="M46" s="33"/>
      <c r="N46" s="33"/>
    </row>
    <row r="47" spans="1:14" ht="15.5" x14ac:dyDescent="0.35">
      <c r="A47" s="5"/>
      <c r="B47" s="5"/>
      <c r="C47" s="5"/>
      <c r="D47" s="4"/>
      <c r="E47" s="33"/>
      <c r="F47" s="5"/>
      <c r="G47" s="5"/>
      <c r="H47" s="5"/>
      <c r="I47" s="4"/>
      <c r="J47" s="33"/>
      <c r="K47" s="33"/>
      <c r="L47" s="33"/>
      <c r="M47" s="33"/>
      <c r="N47" s="33"/>
    </row>
    <row r="48" spans="1:14" ht="15.5" x14ac:dyDescent="0.35">
      <c r="A48" s="5"/>
      <c r="B48" s="5"/>
      <c r="C48" s="4"/>
      <c r="D48" s="4"/>
      <c r="E48" s="33"/>
      <c r="F48" s="5"/>
      <c r="G48" s="5"/>
      <c r="H48" s="4"/>
      <c r="I48" s="4"/>
      <c r="J48" s="33"/>
      <c r="K48" s="33"/>
      <c r="L48" s="33"/>
      <c r="M48" s="33"/>
      <c r="N48" s="33"/>
    </row>
    <row r="49" spans="1:14" ht="15.5" x14ac:dyDescent="0.35">
      <c r="A49" s="5"/>
      <c r="B49" s="13"/>
      <c r="C49" s="15"/>
      <c r="D49" s="15"/>
      <c r="E49" s="33"/>
      <c r="F49" s="5"/>
      <c r="G49" s="13"/>
      <c r="H49" s="15"/>
      <c r="I49" s="15"/>
      <c r="J49" s="33"/>
      <c r="K49" s="33"/>
      <c r="L49" s="33"/>
      <c r="M49" s="13"/>
      <c r="N49" s="15"/>
    </row>
    <row r="50" spans="1:14" ht="15.5" x14ac:dyDescent="0.35">
      <c r="A50" s="5"/>
      <c r="B50" s="13"/>
      <c r="C50" s="15"/>
      <c r="D50" s="15"/>
      <c r="E50" s="33"/>
      <c r="F50" s="5"/>
      <c r="G50" s="13"/>
      <c r="H50" s="15"/>
      <c r="I50" s="15"/>
      <c r="J50" s="33"/>
      <c r="K50" s="33"/>
      <c r="L50" s="33"/>
      <c r="M50" s="13"/>
      <c r="N50" s="15"/>
    </row>
    <row r="51" spans="1:14" ht="15.5" x14ac:dyDescent="0.35">
      <c r="A51" s="5"/>
      <c r="B51" s="13"/>
      <c r="C51" s="15"/>
      <c r="D51" s="15"/>
      <c r="E51" s="33"/>
      <c r="F51" s="5"/>
      <c r="G51" s="13"/>
      <c r="H51" s="15"/>
      <c r="I51" s="15"/>
      <c r="J51" s="33"/>
      <c r="K51" s="33"/>
      <c r="L51" s="33"/>
      <c r="M51" s="13"/>
      <c r="N51" s="15"/>
    </row>
    <row r="52" spans="1:14" ht="15.5" x14ac:dyDescent="0.35">
      <c r="A52" s="5"/>
      <c r="B52" s="13"/>
      <c r="C52" s="15"/>
      <c r="D52" s="15"/>
      <c r="E52" s="33"/>
      <c r="F52" s="5"/>
      <c r="G52" s="13"/>
      <c r="H52" s="15"/>
      <c r="I52" s="15"/>
      <c r="J52" s="33"/>
      <c r="K52" s="33"/>
      <c r="L52" s="33"/>
      <c r="M52" s="13"/>
      <c r="N52" s="15"/>
    </row>
    <row r="53" spans="1:14" ht="15.5" x14ac:dyDescent="0.35">
      <c r="A53" s="5"/>
      <c r="B53" s="13"/>
      <c r="C53" s="15"/>
      <c r="D53" s="15"/>
      <c r="E53" s="33"/>
      <c r="F53" s="5"/>
      <c r="G53" s="13"/>
      <c r="H53" s="15"/>
      <c r="I53" s="15"/>
      <c r="J53" s="33"/>
      <c r="K53" s="33"/>
      <c r="L53" s="33"/>
      <c r="M53" s="13"/>
      <c r="N53" s="15"/>
    </row>
    <row r="54" spans="1:14" ht="15.5" x14ac:dyDescent="0.35">
      <c r="A54" s="5"/>
      <c r="B54" s="13"/>
      <c r="C54" s="15"/>
      <c r="D54" s="15"/>
      <c r="E54" s="33"/>
      <c r="F54" s="5"/>
      <c r="G54" s="13"/>
      <c r="H54" s="15"/>
      <c r="I54" s="15"/>
      <c r="J54" s="33"/>
      <c r="K54" s="33"/>
      <c r="L54" s="33"/>
      <c r="M54" s="13"/>
      <c r="N54" s="15"/>
    </row>
    <row r="55" spans="1:14" ht="15.5" x14ac:dyDescent="0.35">
      <c r="A55" s="5"/>
      <c r="B55" s="13"/>
      <c r="C55" s="13"/>
      <c r="D55" s="15"/>
      <c r="E55" s="33"/>
      <c r="F55" s="5"/>
      <c r="G55" s="13"/>
      <c r="H55" s="13"/>
      <c r="I55" s="15"/>
      <c r="J55" s="33"/>
      <c r="K55" s="33"/>
      <c r="L55" s="33"/>
      <c r="M55" s="13"/>
      <c r="N55" s="15"/>
    </row>
    <row r="56" spans="1:14" ht="15.5" x14ac:dyDescent="0.35">
      <c r="A56" s="5"/>
      <c r="B56" s="13"/>
      <c r="C56" s="13"/>
      <c r="D56" s="15"/>
      <c r="E56" s="33"/>
      <c r="F56" s="5"/>
      <c r="G56" s="13"/>
      <c r="H56" s="13"/>
      <c r="I56" s="15"/>
      <c r="J56" s="33"/>
      <c r="K56" s="33"/>
      <c r="L56" s="33"/>
      <c r="M56" s="13"/>
      <c r="N56" s="15"/>
    </row>
    <row r="57" spans="1:14" ht="13" x14ac:dyDescent="0.3">
      <c r="A57" s="13"/>
      <c r="B57" s="13"/>
      <c r="C57" s="13"/>
      <c r="D57" s="15"/>
      <c r="E57" s="33"/>
      <c r="F57" s="13"/>
      <c r="G57" s="13"/>
      <c r="H57" s="13"/>
      <c r="I57" s="15"/>
      <c r="J57" s="33"/>
      <c r="K57" s="33"/>
      <c r="L57" s="33"/>
      <c r="M57" s="33"/>
      <c r="N57" s="33"/>
    </row>
    <row r="58" spans="1:14" ht="15.5" x14ac:dyDescent="0.35">
      <c r="A58" s="5"/>
      <c r="B58" s="13"/>
      <c r="C58" s="15"/>
      <c r="D58" s="15"/>
      <c r="E58" s="33"/>
      <c r="F58" s="5"/>
      <c r="G58" s="13"/>
      <c r="H58" s="15"/>
      <c r="I58" s="15"/>
      <c r="J58" s="33"/>
      <c r="K58" s="33"/>
      <c r="L58" s="33"/>
      <c r="M58" s="33"/>
      <c r="N58" s="33"/>
    </row>
    <row r="59" spans="1:14" ht="15.5" x14ac:dyDescent="0.35">
      <c r="A59" s="5"/>
      <c r="B59" s="40"/>
      <c r="C59" s="13"/>
      <c r="D59" s="15"/>
      <c r="E59" s="33"/>
      <c r="F59" s="5"/>
      <c r="G59" s="40"/>
      <c r="H59" s="13"/>
      <c r="I59" s="15"/>
      <c r="J59" s="33"/>
      <c r="K59" s="33"/>
      <c r="L59" s="33"/>
      <c r="M59" s="33"/>
      <c r="N59" s="33"/>
    </row>
    <row r="60" spans="1:14" ht="15.5" x14ac:dyDescent="0.35">
      <c r="A60" s="5"/>
      <c r="B60" s="15"/>
      <c r="C60" s="13"/>
      <c r="D60" s="13"/>
      <c r="E60" s="33"/>
      <c r="F60" s="5"/>
      <c r="G60" s="15"/>
      <c r="H60" s="13"/>
      <c r="I60" s="13"/>
      <c r="J60" s="33"/>
      <c r="K60" s="33"/>
      <c r="L60" s="33"/>
      <c r="M60" s="33"/>
      <c r="N60" s="33"/>
    </row>
    <row r="61" spans="1:14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 spans="1:14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</row>
    <row r="63" spans="1:14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</row>
    <row r="64" spans="1:14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</row>
    <row r="65" spans="1:14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</row>
    <row r="66" spans="1:14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 spans="1:14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</row>
    <row r="68" spans="1:14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</row>
    <row r="69" spans="1:14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</row>
    <row r="70" spans="1:14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</row>
    <row r="71" spans="1:14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</row>
    <row r="72" spans="1:14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spans="1:14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</row>
    <row r="74" spans="1:14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</row>
    <row r="75" spans="1:14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</row>
    <row r="76" spans="1:14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</row>
    <row r="77" spans="1:14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</row>
    <row r="78" spans="1:14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</row>
    <row r="79" spans="1:14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 spans="1:14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spans="1:14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</row>
    <row r="82" spans="1:14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</row>
    <row r="83" spans="1:14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</row>
    <row r="84" spans="1:14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</row>
    <row r="85" spans="1:14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</row>
  </sheetData>
  <mergeCells count="1">
    <mergeCell ref="A1:M1"/>
  </mergeCells>
  <pageMargins left="0.7" right="0.7" top="0.75" bottom="0.75" header="0.3" footer="0.3"/>
  <pageSetup paperSize="9" scale="76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1"/>
  <sheetViews>
    <sheetView topLeftCell="A2" workbookViewId="0">
      <selection activeCell="B15" sqref="B15"/>
    </sheetView>
  </sheetViews>
  <sheetFormatPr defaultRowHeight="12.5" x14ac:dyDescent="0.25"/>
  <cols>
    <col min="1" max="1" width="22.1796875" customWidth="1"/>
    <col min="5" max="5" width="11.453125" customWidth="1"/>
    <col min="6" max="6" width="12.81640625" customWidth="1"/>
    <col min="7" max="7" width="16.8164062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150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5" x14ac:dyDescent="0.35">
      <c r="A4" s="7"/>
      <c r="B4" s="13"/>
      <c r="C4" s="15"/>
      <c r="D4" s="20"/>
      <c r="E4" s="13"/>
      <c r="F4" s="21"/>
      <c r="G4" s="22"/>
      <c r="H4" s="22"/>
      <c r="I4" s="22"/>
      <c r="J4" s="22"/>
      <c r="K4" s="22"/>
      <c r="L4" s="23"/>
      <c r="M4" s="13"/>
      <c r="N4" s="13"/>
      <c r="O4" s="13"/>
      <c r="P4" s="13"/>
      <c r="Q4" s="13"/>
    </row>
    <row r="5" spans="1:17" ht="15.5" x14ac:dyDescent="0.35">
      <c r="A5" s="7" t="s">
        <v>3</v>
      </c>
      <c r="B5" s="7" t="s">
        <v>444</v>
      </c>
      <c r="C5" s="15"/>
      <c r="D5" s="20"/>
      <c r="E5" s="13"/>
      <c r="F5" s="22"/>
      <c r="G5" s="7" t="s">
        <v>3</v>
      </c>
      <c r="H5" s="7" t="s">
        <v>444</v>
      </c>
      <c r="I5" s="15"/>
      <c r="J5" s="20"/>
      <c r="K5" s="13"/>
      <c r="L5" s="22"/>
      <c r="M5" s="13"/>
      <c r="N5" s="13"/>
      <c r="O5" s="13"/>
      <c r="P5" s="13"/>
      <c r="Q5" s="13"/>
    </row>
    <row r="6" spans="1:17" ht="15.5" x14ac:dyDescent="0.35">
      <c r="A6" s="6"/>
      <c r="B6" s="7" t="s">
        <v>1</v>
      </c>
      <c r="C6" s="8" t="s">
        <v>2</v>
      </c>
      <c r="D6" s="9" t="s">
        <v>4</v>
      </c>
      <c r="E6" s="13"/>
      <c r="F6" s="22"/>
      <c r="G6" s="6"/>
      <c r="H6" s="7" t="s">
        <v>1</v>
      </c>
      <c r="I6" s="8" t="s">
        <v>2</v>
      </c>
      <c r="J6" s="9" t="s">
        <v>4</v>
      </c>
      <c r="K6" s="13"/>
      <c r="L6" s="22"/>
      <c r="M6" s="13"/>
      <c r="N6" s="13"/>
      <c r="O6" s="13"/>
      <c r="P6" s="13"/>
      <c r="Q6" s="13"/>
    </row>
    <row r="7" spans="1:17" ht="15.5" x14ac:dyDescent="0.35">
      <c r="A7" s="6" t="s">
        <v>147</v>
      </c>
      <c r="B7" s="28">
        <v>11.055999999999999</v>
      </c>
      <c r="C7" s="10">
        <f>'Ingredient Cost'!D9</f>
        <v>1.94</v>
      </c>
      <c r="D7" s="11">
        <f>B7*C7</f>
        <v>21.448639999999997</v>
      </c>
      <c r="E7" s="13"/>
      <c r="F7" s="22"/>
      <c r="G7" s="6" t="s">
        <v>147</v>
      </c>
      <c r="H7" s="28">
        <v>11.102</v>
      </c>
      <c r="I7" s="10">
        <f>C7</f>
        <v>1.94</v>
      </c>
      <c r="J7" s="11">
        <f>H7*I7</f>
        <v>21.537880000000001</v>
      </c>
      <c r="K7" s="13"/>
      <c r="L7" s="22"/>
      <c r="M7" s="13"/>
      <c r="N7" s="13"/>
      <c r="O7" s="13"/>
      <c r="P7" s="13"/>
      <c r="Q7" s="13"/>
    </row>
    <row r="8" spans="1:17" ht="15.5" x14ac:dyDescent="0.35">
      <c r="A8" s="6" t="s">
        <v>443</v>
      </c>
      <c r="B8" s="28">
        <v>12.321</v>
      </c>
      <c r="C8" s="10">
        <f>'Ingredient Cost'!D50</f>
        <v>56.25</v>
      </c>
      <c r="D8" s="11">
        <f>B8*C8</f>
        <v>693.05624999999998</v>
      </c>
      <c r="E8" s="13"/>
      <c r="F8" s="22"/>
      <c r="G8" s="6" t="s">
        <v>443</v>
      </c>
      <c r="H8" s="28">
        <v>12.321</v>
      </c>
      <c r="I8" s="10">
        <f>C8</f>
        <v>56.25</v>
      </c>
      <c r="J8" s="11">
        <f>H8*I8</f>
        <v>693.05624999999998</v>
      </c>
      <c r="K8" s="13"/>
      <c r="L8" s="22"/>
      <c r="M8" s="13"/>
      <c r="N8" s="13"/>
      <c r="O8" s="13"/>
      <c r="P8" s="13"/>
      <c r="Q8" s="13"/>
    </row>
    <row r="9" spans="1:17" ht="15.5" x14ac:dyDescent="0.35">
      <c r="A9" s="7" t="s">
        <v>385</v>
      </c>
      <c r="B9" s="28">
        <v>1.298</v>
      </c>
      <c r="C9" s="10">
        <f>D14</f>
        <v>32.361288554735268</v>
      </c>
      <c r="D9" s="10">
        <f>C9/B9</f>
        <v>24.931655280997894</v>
      </c>
      <c r="E9" s="13"/>
      <c r="F9" s="22"/>
      <c r="G9" s="7" t="s">
        <v>385</v>
      </c>
      <c r="H9" s="28">
        <v>1.3620000000000001</v>
      </c>
      <c r="I9" s="10">
        <f>J14</f>
        <v>32.391737908526359</v>
      </c>
      <c r="J9" s="10">
        <f>I9/H9</f>
        <v>23.782480109050187</v>
      </c>
      <c r="K9" s="13"/>
      <c r="L9" s="22"/>
      <c r="M9" s="13"/>
      <c r="N9" s="13"/>
      <c r="O9" s="13"/>
      <c r="P9" s="13"/>
      <c r="Q9" s="13"/>
    </row>
    <row r="10" spans="1:17" ht="15.5" x14ac:dyDescent="0.35">
      <c r="A10" s="7" t="s">
        <v>180</v>
      </c>
      <c r="B10" s="28">
        <v>275</v>
      </c>
      <c r="C10" s="10">
        <f>'Ingredient Cost'!J3</f>
        <v>20</v>
      </c>
      <c r="D10" s="10">
        <f>C10/B10</f>
        <v>7.2727272727272724E-2</v>
      </c>
      <c r="E10" s="13"/>
      <c r="F10" s="22"/>
      <c r="G10" s="7" t="s">
        <v>180</v>
      </c>
      <c r="H10" s="28">
        <v>275</v>
      </c>
      <c r="I10" s="10">
        <f>C10</f>
        <v>20</v>
      </c>
      <c r="J10" s="10">
        <f>I10/H10</f>
        <v>7.2727272727272724E-2</v>
      </c>
      <c r="K10" s="13"/>
      <c r="L10" s="22"/>
      <c r="M10" s="13"/>
      <c r="N10" s="13"/>
      <c r="O10" s="13"/>
      <c r="P10" s="13"/>
      <c r="Q10" s="13"/>
    </row>
    <row r="11" spans="1:17" ht="15.5" x14ac:dyDescent="0.35">
      <c r="A11" s="7"/>
      <c r="B11" s="28"/>
      <c r="C11" s="10"/>
      <c r="D11" s="10"/>
      <c r="E11" s="13"/>
      <c r="F11" s="22"/>
      <c r="G11" s="7"/>
      <c r="H11" s="28"/>
      <c r="I11" s="10"/>
      <c r="J11" s="10"/>
      <c r="K11" s="13"/>
      <c r="L11" s="22"/>
      <c r="M11" s="13"/>
      <c r="N11" s="13"/>
      <c r="O11" s="13"/>
      <c r="P11" s="13"/>
      <c r="Q11" s="13"/>
    </row>
    <row r="12" spans="1:17" ht="15.5" x14ac:dyDescent="0.35">
      <c r="A12" s="7"/>
      <c r="B12" s="12"/>
      <c r="C12" s="10"/>
      <c r="D12" s="10"/>
      <c r="E12" s="13"/>
      <c r="F12" s="22"/>
      <c r="G12" s="7"/>
      <c r="H12" s="12"/>
      <c r="I12" s="10"/>
      <c r="J12" s="10"/>
      <c r="K12" s="13"/>
      <c r="L12" s="22"/>
      <c r="M12" s="13"/>
      <c r="N12" s="13"/>
      <c r="O12" s="13"/>
      <c r="P12" s="13"/>
      <c r="Q12" s="13"/>
    </row>
    <row r="13" spans="1:17" ht="13" x14ac:dyDescent="0.3">
      <c r="A13" s="13"/>
      <c r="B13" s="13"/>
      <c r="C13" s="15"/>
      <c r="D13" s="14"/>
      <c r="E13" s="13"/>
      <c r="F13" s="22"/>
      <c r="G13" s="13"/>
      <c r="H13" s="13"/>
      <c r="I13" s="15"/>
      <c r="J13" s="14"/>
      <c r="K13" s="13"/>
      <c r="L13" s="22"/>
      <c r="M13" s="13"/>
      <c r="N13" s="13"/>
      <c r="O13" s="13"/>
      <c r="P13" s="13"/>
      <c r="Q13" s="13"/>
    </row>
    <row r="14" spans="1:17" ht="15.5" x14ac:dyDescent="0.35">
      <c r="A14" s="6" t="s">
        <v>0</v>
      </c>
      <c r="B14" s="13"/>
      <c r="C14" s="15"/>
      <c r="D14" s="19">
        <f>(D7+D8)/(B7+B8-B9)</f>
        <v>32.361288554735268</v>
      </c>
      <c r="E14" s="13" t="s">
        <v>105</v>
      </c>
      <c r="F14" s="22"/>
      <c r="G14" s="6" t="s">
        <v>0</v>
      </c>
      <c r="H14" s="13"/>
      <c r="I14" s="15"/>
      <c r="J14" s="19">
        <f>(J7+J8)/(H7+H8-H9)</f>
        <v>32.391737908526359</v>
      </c>
      <c r="K14" s="13" t="s">
        <v>105</v>
      </c>
      <c r="L14" s="22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>
        <f>(D7+D8)/148</f>
        <v>4.8277357432432426</v>
      </c>
      <c r="E15" s="13" t="s">
        <v>57</v>
      </c>
      <c r="F15" s="22"/>
      <c r="G15" s="7"/>
      <c r="H15" s="13"/>
      <c r="I15" s="15"/>
      <c r="J15" s="20">
        <f>(J7+J8)/148</f>
        <v>4.8283387162162157</v>
      </c>
      <c r="K15" s="13" t="s">
        <v>57</v>
      </c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22"/>
      <c r="G16" s="22"/>
      <c r="H16" s="22"/>
      <c r="I16" s="22"/>
      <c r="J16" s="22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7" t="s">
        <v>3</v>
      </c>
      <c r="B17" s="7" t="s">
        <v>228</v>
      </c>
      <c r="C17" s="15"/>
      <c r="D17" s="20"/>
      <c r="E17" s="13"/>
      <c r="F17" s="22"/>
      <c r="G17" s="7"/>
      <c r="H17" s="7"/>
      <c r="I17" s="15"/>
      <c r="J17" s="20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/>
      <c r="B18" s="7" t="s">
        <v>1</v>
      </c>
      <c r="C18" s="8" t="s">
        <v>2</v>
      </c>
      <c r="D18" s="9" t="s">
        <v>4</v>
      </c>
      <c r="E18" s="13"/>
      <c r="F18" s="6"/>
      <c r="G18" s="7"/>
      <c r="H18" s="7"/>
      <c r="I18" s="8"/>
      <c r="J18" s="8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146</v>
      </c>
      <c r="B19" s="28">
        <v>48</v>
      </c>
      <c r="C19" s="10">
        <f>D15</f>
        <v>4.8277357432432426</v>
      </c>
      <c r="D19" s="11">
        <f>B19*C19</f>
        <v>231.73131567567566</v>
      </c>
      <c r="E19" s="13"/>
      <c r="F19" s="6"/>
      <c r="G19" s="7"/>
      <c r="H19" s="13"/>
      <c r="I19" s="15"/>
      <c r="J19" s="74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7" t="s">
        <v>66</v>
      </c>
      <c r="B20" s="28">
        <v>1</v>
      </c>
      <c r="C20" s="10">
        <f>'Ingredient Cost'!D108</f>
        <v>0.2</v>
      </c>
      <c r="D20" s="10">
        <f>B20*C20</f>
        <v>0.2</v>
      </c>
      <c r="E20" s="13"/>
      <c r="F20" s="6"/>
      <c r="G20" s="7"/>
      <c r="H20" s="13"/>
      <c r="I20" s="15"/>
      <c r="J20" s="15"/>
      <c r="K20" s="22"/>
      <c r="L20" s="22"/>
      <c r="M20" s="13"/>
      <c r="N20" s="13">
        <v>0.115</v>
      </c>
      <c r="O20" s="13"/>
      <c r="P20" s="13"/>
      <c r="Q20" s="13"/>
    </row>
    <row r="21" spans="1:17" ht="15.5" x14ac:dyDescent="0.35">
      <c r="A21" s="7" t="s">
        <v>94</v>
      </c>
      <c r="B21" s="28">
        <v>2</v>
      </c>
      <c r="C21" s="10">
        <f>'Ingredient Cost'!D86</f>
        <v>0.12</v>
      </c>
      <c r="D21" s="10">
        <f>B21*C21</f>
        <v>0.24</v>
      </c>
      <c r="E21" s="13"/>
      <c r="F21" s="7"/>
      <c r="G21" s="7"/>
      <c r="H21" s="13"/>
      <c r="I21" s="15"/>
      <c r="J21" s="15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67</v>
      </c>
      <c r="B22" s="28">
        <v>1</v>
      </c>
      <c r="C22" s="10">
        <v>0.01</v>
      </c>
      <c r="D22" s="10">
        <f>C22/B22</f>
        <v>0.01</v>
      </c>
      <c r="E22" s="13"/>
      <c r="F22" s="7"/>
      <c r="G22" s="7"/>
      <c r="H22" s="13"/>
      <c r="I22" s="15"/>
      <c r="J22" s="15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/>
      <c r="B23" s="28"/>
      <c r="C23" s="10"/>
      <c r="D23" s="10"/>
      <c r="E23" s="13"/>
      <c r="F23" s="7"/>
      <c r="G23" s="7"/>
      <c r="H23" s="13"/>
      <c r="I23" s="15"/>
      <c r="J23" s="15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7"/>
      <c r="H24" s="13"/>
      <c r="I24" s="15"/>
      <c r="J24" s="15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3"/>
      <c r="I25" s="15"/>
      <c r="J25" s="15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SUM(D19:D23)</f>
        <v>232.18131567567565</v>
      </c>
      <c r="E26" s="13"/>
      <c r="F26" s="6"/>
      <c r="G26" s="7"/>
      <c r="H26" s="13"/>
      <c r="I26" s="15"/>
      <c r="J26" s="20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6" t="s">
        <v>182</v>
      </c>
      <c r="B27" s="22"/>
      <c r="C27" s="22"/>
      <c r="D27" s="98">
        <f>D26/48</f>
        <v>4.837110743243243</v>
      </c>
      <c r="E27" s="13"/>
      <c r="F27" s="21"/>
      <c r="G27" s="7"/>
      <c r="H27" s="22"/>
      <c r="I27" s="22"/>
      <c r="J27" s="98"/>
      <c r="K27" s="22"/>
      <c r="L27" s="22"/>
      <c r="M27" s="13"/>
      <c r="N27" s="13"/>
      <c r="O27" s="13"/>
      <c r="P27" s="13"/>
      <c r="Q27" s="13"/>
    </row>
    <row r="28" spans="1:17" ht="38.25" customHeight="1" x14ac:dyDescent="0.35">
      <c r="A28" s="7" t="s">
        <v>3</v>
      </c>
      <c r="B28" s="250" t="s">
        <v>445</v>
      </c>
      <c r="C28" s="250"/>
      <c r="D28" s="250"/>
    </row>
    <row r="29" spans="1:17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7"/>
      <c r="G29" s="7"/>
      <c r="H29" s="8"/>
      <c r="I29" s="8"/>
      <c r="J29" s="13"/>
    </row>
    <row r="30" spans="1:17" ht="15.5" x14ac:dyDescent="0.35">
      <c r="A30" s="6" t="s">
        <v>150</v>
      </c>
      <c r="B30" s="28">
        <v>10</v>
      </c>
      <c r="C30" s="10">
        <f>D15</f>
        <v>4.8277357432432426</v>
      </c>
      <c r="D30" s="11">
        <f>B30*C30</f>
        <v>48.277357432432424</v>
      </c>
      <c r="E30" s="13"/>
      <c r="F30" s="7"/>
      <c r="G30" s="13"/>
      <c r="H30" s="15"/>
      <c r="I30" s="74"/>
      <c r="J30" s="13"/>
    </row>
    <row r="31" spans="1:17" ht="15.5" x14ac:dyDescent="0.35">
      <c r="A31" s="6" t="s">
        <v>139</v>
      </c>
      <c r="B31" s="28">
        <v>10</v>
      </c>
      <c r="C31" s="10">
        <f>'Ingredient Cost'!D88</f>
        <v>0.09</v>
      </c>
      <c r="D31" s="11">
        <f>SUM(B31*C31)</f>
        <v>0.89999999999999991</v>
      </c>
      <c r="E31" s="13"/>
      <c r="F31" s="7"/>
      <c r="G31" s="13"/>
      <c r="H31" s="15"/>
      <c r="I31" s="74"/>
      <c r="J31" s="13"/>
    </row>
    <row r="32" spans="1:17" ht="15.5" x14ac:dyDescent="0.35">
      <c r="A32" s="6" t="s">
        <v>66</v>
      </c>
      <c r="B32" s="28">
        <v>1</v>
      </c>
      <c r="C32" s="10">
        <f>'Ingredient Cost'!D108</f>
        <v>0.2</v>
      </c>
      <c r="D32" s="10">
        <f>B32*C32</f>
        <v>0.2</v>
      </c>
      <c r="E32" s="13"/>
      <c r="F32" s="7"/>
      <c r="G32" s="13"/>
      <c r="H32" s="15"/>
      <c r="I32" s="15"/>
      <c r="J32" s="13"/>
    </row>
    <row r="33" spans="1:10" ht="15.5" x14ac:dyDescent="0.35">
      <c r="A33" s="7" t="s">
        <v>67</v>
      </c>
      <c r="B33" s="28"/>
      <c r="C33" s="10">
        <v>0.01</v>
      </c>
      <c r="D33" s="10">
        <f>C33</f>
        <v>0.01</v>
      </c>
      <c r="E33" s="13"/>
      <c r="F33" s="7"/>
      <c r="G33" s="13"/>
      <c r="H33" s="15"/>
      <c r="I33" s="15"/>
      <c r="J33" s="13"/>
    </row>
    <row r="34" spans="1:10" ht="15.5" x14ac:dyDescent="0.35">
      <c r="A34" s="7" t="s">
        <v>140</v>
      </c>
      <c r="B34" s="28">
        <v>200</v>
      </c>
      <c r="C34" s="10">
        <f>C10</f>
        <v>20</v>
      </c>
      <c r="D34" s="10">
        <f>C34/B34</f>
        <v>0.1</v>
      </c>
      <c r="E34" s="13"/>
      <c r="F34" s="7"/>
      <c r="G34" s="13"/>
      <c r="H34" s="15"/>
      <c r="I34" s="15"/>
      <c r="J34" s="13"/>
    </row>
    <row r="35" spans="1:10" ht="15.5" x14ac:dyDescent="0.35">
      <c r="A35" s="7"/>
      <c r="B35" s="12"/>
      <c r="C35" s="10"/>
      <c r="D35" s="10"/>
      <c r="E35" s="13"/>
      <c r="F35" s="7"/>
      <c r="G35" s="13"/>
      <c r="H35" s="15"/>
      <c r="I35" s="15"/>
      <c r="J35" s="13"/>
    </row>
    <row r="36" spans="1:10" ht="15.5" x14ac:dyDescent="0.35">
      <c r="A36" s="13"/>
      <c r="B36" s="13"/>
      <c r="C36" s="15"/>
      <c r="D36" s="14"/>
      <c r="E36" s="13"/>
      <c r="F36" s="7"/>
      <c r="G36" s="13"/>
      <c r="H36" s="15"/>
      <c r="I36" s="15"/>
      <c r="J36" s="13"/>
    </row>
    <row r="37" spans="1:10" ht="15.5" x14ac:dyDescent="0.35">
      <c r="A37" s="6" t="s">
        <v>0</v>
      </c>
      <c r="B37" s="13"/>
      <c r="C37" s="15"/>
      <c r="D37" s="19">
        <f>SUM(D30:D34)</f>
        <v>49.487357432432425</v>
      </c>
      <c r="E37" s="13"/>
      <c r="F37" s="13"/>
      <c r="G37" s="13"/>
      <c r="H37" s="15"/>
      <c r="I37" s="15"/>
      <c r="J37" s="13"/>
    </row>
    <row r="38" spans="1:10" ht="15.5" x14ac:dyDescent="0.35">
      <c r="A38" s="7" t="s">
        <v>182</v>
      </c>
      <c r="B38" s="13"/>
      <c r="C38" s="15"/>
      <c r="D38" s="20">
        <f>D37/10</f>
        <v>4.9487357432432422</v>
      </c>
      <c r="E38" s="13"/>
      <c r="F38" s="7"/>
      <c r="G38" s="13"/>
      <c r="H38" s="15"/>
      <c r="I38" s="20"/>
      <c r="J38" s="13"/>
    </row>
    <row r="41" spans="1:10" ht="15.5" x14ac:dyDescent="0.35">
      <c r="A41" s="7"/>
    </row>
  </sheetData>
  <mergeCells count="4">
    <mergeCell ref="A1:Q1"/>
    <mergeCell ref="A2:Q2"/>
    <mergeCell ref="A3:E3"/>
    <mergeCell ref="B28:D28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EFFD-AD5F-4D8D-A815-47093A638242}">
  <dimension ref="A1:BJ121"/>
  <sheetViews>
    <sheetView showGridLines="0" tabSelected="1" zoomScale="80" zoomScaleNormal="80" workbookViewId="0">
      <pane ySplit="6" topLeftCell="A7" activePane="bottomLeft" state="frozen"/>
      <selection pane="bottomLeft" activeCell="B6" sqref="B6"/>
    </sheetView>
  </sheetViews>
  <sheetFormatPr defaultColWidth="0" defaultRowHeight="12.5" x14ac:dyDescent="0.25"/>
  <cols>
    <col min="1" max="1" width="8.453125" customWidth="1"/>
    <col min="2" max="2" width="36.7265625" customWidth="1"/>
    <col min="3" max="3" width="13.7265625" bestFit="1" customWidth="1"/>
    <col min="4" max="4" width="18.08984375" bestFit="1" customWidth="1"/>
    <col min="5" max="5" width="19.36328125" bestFit="1" customWidth="1"/>
    <col min="6" max="6" width="10.453125" bestFit="1" customWidth="1"/>
    <col min="7" max="7" width="17.7265625" bestFit="1" customWidth="1"/>
    <col min="8" max="8" width="15.6328125" bestFit="1" customWidth="1"/>
    <col min="9" max="9" width="19.453125" bestFit="1" customWidth="1"/>
    <col min="10" max="10" width="21.81640625" bestFit="1" customWidth="1"/>
    <col min="11" max="11" width="16.6328125" bestFit="1" customWidth="1"/>
    <col min="12" max="12" width="18.08984375" customWidth="1"/>
    <col min="13" max="13" width="36.6328125" hidden="1" customWidth="1"/>
    <col min="14" max="14" width="6.36328125" hidden="1" customWidth="1"/>
    <col min="15" max="39" width="5.36328125" hidden="1" customWidth="1"/>
    <col min="40" max="61" width="6.36328125" hidden="1" customWidth="1"/>
    <col min="62" max="62" width="11.1796875" hidden="1" customWidth="1"/>
    <col min="63" max="16384" width="18.08984375" hidden="1"/>
  </cols>
  <sheetData>
    <row r="1" spans="1:18" s="203" customFormat="1" ht="36" x14ac:dyDescent="0.8">
      <c r="A1" s="213"/>
      <c r="B1" s="207" t="s">
        <v>491</v>
      </c>
      <c r="C1" s="207"/>
      <c r="D1" s="207"/>
      <c r="E1" s="207"/>
      <c r="F1" s="208"/>
      <c r="G1" s="208"/>
      <c r="H1" s="208"/>
      <c r="I1" s="208"/>
      <c r="J1" s="208"/>
      <c r="K1" s="208"/>
      <c r="L1" s="214"/>
      <c r="M1" s="13"/>
      <c r="N1" s="13"/>
      <c r="O1" s="13"/>
      <c r="P1" s="13"/>
      <c r="Q1" s="209"/>
      <c r="R1" s="13"/>
    </row>
    <row r="2" spans="1:18" s="203" customFormat="1" ht="36" x14ac:dyDescent="0.8">
      <c r="A2" s="213"/>
      <c r="B2" s="206">
        <v>46054</v>
      </c>
      <c r="C2" s="204"/>
      <c r="D2" s="204"/>
      <c r="E2" s="204"/>
      <c r="F2" s="205"/>
      <c r="G2" s="205"/>
      <c r="H2" s="205"/>
      <c r="I2" s="205"/>
      <c r="J2" s="205"/>
      <c r="K2" s="205"/>
      <c r="L2" s="205"/>
      <c r="M2" s="210"/>
      <c r="N2" s="210"/>
      <c r="O2" s="210"/>
      <c r="P2" s="210"/>
      <c r="Q2" s="210"/>
      <c r="R2" s="210"/>
    </row>
    <row r="3" spans="1:18" s="116" customFormat="1" ht="13" x14ac:dyDescent="0.3"/>
    <row r="4" spans="1:18" ht="13" x14ac:dyDescent="0.3">
      <c r="B4" s="116"/>
      <c r="C4" s="116"/>
      <c r="D4" s="116"/>
      <c r="E4" s="116" t="s">
        <v>490</v>
      </c>
      <c r="F4" s="199">
        <v>0.15</v>
      </c>
      <c r="G4" s="116" t="s">
        <v>477</v>
      </c>
      <c r="H4" s="116"/>
      <c r="I4" s="116" t="s">
        <v>480</v>
      </c>
      <c r="J4" s="200">
        <v>0.3</v>
      </c>
      <c r="K4" s="200"/>
      <c r="L4" s="13"/>
      <c r="M4" s="13"/>
      <c r="N4" s="13"/>
    </row>
    <row r="5" spans="1:18" ht="13" x14ac:dyDescent="0.3">
      <c r="B5" s="13"/>
      <c r="C5" s="13"/>
      <c r="D5" s="13"/>
      <c r="E5" s="13"/>
      <c r="F5" s="149"/>
      <c r="G5" s="13"/>
      <c r="H5" s="13"/>
      <c r="I5" s="13"/>
      <c r="J5" s="13"/>
      <c r="K5" s="13"/>
      <c r="L5" s="13"/>
      <c r="M5" s="13"/>
      <c r="N5" s="13"/>
    </row>
    <row r="6" spans="1:18" ht="24" customHeight="1" x14ac:dyDescent="0.3">
      <c r="B6" s="215" t="s">
        <v>3</v>
      </c>
      <c r="C6" s="215" t="s">
        <v>482</v>
      </c>
      <c r="D6" s="215" t="s">
        <v>484</v>
      </c>
      <c r="E6" s="215" t="s">
        <v>486</v>
      </c>
      <c r="F6" s="215" t="s">
        <v>456</v>
      </c>
      <c r="G6" s="215" t="s">
        <v>478</v>
      </c>
      <c r="H6" s="215" t="s">
        <v>481</v>
      </c>
      <c r="I6" s="215" t="s">
        <v>479</v>
      </c>
      <c r="J6" s="215" t="s">
        <v>562</v>
      </c>
      <c r="K6" s="216" t="s">
        <v>563</v>
      </c>
      <c r="L6" s="13"/>
      <c r="M6" s="13"/>
      <c r="N6" s="13"/>
    </row>
    <row r="7" spans="1:18" ht="15.5" hidden="1" x14ac:dyDescent="0.35">
      <c r="B7" s="198" t="s">
        <v>446</v>
      </c>
      <c r="C7" s="198" t="s">
        <v>146</v>
      </c>
      <c r="D7" s="198" t="s">
        <v>66</v>
      </c>
      <c r="E7" s="198"/>
      <c r="F7" s="201">
        <f>'Jumbo Sausage Roll v2'!I51</f>
        <v>23.978648648648651</v>
      </c>
      <c r="G7" s="202">
        <f t="shared" ref="G7:G44" si="0">F$4</f>
        <v>0.15</v>
      </c>
      <c r="H7" s="212">
        <f>F7*(G7+1)</f>
        <v>27.575445945945948</v>
      </c>
      <c r="I7" s="202">
        <f t="shared" ref="I7:I44" si="1">J$4</f>
        <v>0.3</v>
      </c>
      <c r="J7" s="217">
        <f t="shared" ref="J7:J21" si="2">H7*(1+$J$4)</f>
        <v>35.848079729729733</v>
      </c>
      <c r="K7" s="212">
        <f>Table1[[#This Row],[Minimum Price]]*1.2</f>
        <v>43.017695675675675</v>
      </c>
      <c r="L7" s="13"/>
    </row>
    <row r="8" spans="1:18" ht="15.5" hidden="1" x14ac:dyDescent="0.35">
      <c r="B8" s="198" t="s">
        <v>447</v>
      </c>
      <c r="C8" s="198" t="s">
        <v>146</v>
      </c>
      <c r="D8" s="198" t="s">
        <v>66</v>
      </c>
      <c r="E8" s="198"/>
      <c r="F8" s="201">
        <f>'Jumbo Sausage Roll v2'!D51</f>
        <v>7.3918018018018019</v>
      </c>
      <c r="G8" s="202">
        <f t="shared" si="0"/>
        <v>0.15</v>
      </c>
      <c r="H8" s="212">
        <f t="shared" ref="H8:H20" si="3">F8*(G8+1)</f>
        <v>8.500572072072071</v>
      </c>
      <c r="I8" s="202">
        <f t="shared" si="1"/>
        <v>0.3</v>
      </c>
      <c r="J8" s="217">
        <f t="shared" si="2"/>
        <v>11.050743693693693</v>
      </c>
      <c r="K8" s="212">
        <f>Table1[[#This Row],[Minimum Price]]*1.2</f>
        <v>13.260892432432431</v>
      </c>
      <c r="L8" s="13"/>
      <c r="M8" s="13"/>
      <c r="N8" s="13"/>
    </row>
    <row r="9" spans="1:18" ht="15.5" hidden="1" x14ac:dyDescent="0.35">
      <c r="B9" s="198" t="s">
        <v>492</v>
      </c>
      <c r="C9" s="198" t="s">
        <v>146</v>
      </c>
      <c r="D9" s="198" t="s">
        <v>41</v>
      </c>
      <c r="E9" s="198"/>
      <c r="F9" s="201">
        <f>'Jumbo Sausage Roll v2'!D40</f>
        <v>0.71018018018018014</v>
      </c>
      <c r="G9" s="202">
        <f t="shared" si="0"/>
        <v>0.15</v>
      </c>
      <c r="H9" s="212">
        <f t="shared" si="3"/>
        <v>0.81670720720720713</v>
      </c>
      <c r="I9" s="202">
        <f t="shared" si="1"/>
        <v>0.3</v>
      </c>
      <c r="J9" s="217">
        <f t="shared" si="2"/>
        <v>1.0617193693693694</v>
      </c>
      <c r="K9" s="212">
        <f>Table1[[#This Row],[Minimum Price]]*1.2</f>
        <v>1.2740632432432433</v>
      </c>
      <c r="L9" s="13"/>
    </row>
    <row r="10" spans="1:18" ht="15.5" hidden="1" x14ac:dyDescent="0.35">
      <c r="B10" s="198" t="s">
        <v>488</v>
      </c>
      <c r="C10" s="198" t="s">
        <v>146</v>
      </c>
      <c r="D10" s="198" t="s">
        <v>41</v>
      </c>
      <c r="E10" s="198"/>
      <c r="F10" s="201">
        <f>'Sausage Roll v2'!D40</f>
        <v>1.0386936936936937</v>
      </c>
      <c r="G10" s="202">
        <f t="shared" si="0"/>
        <v>0.15</v>
      </c>
      <c r="H10" s="212">
        <f>F10*(G10+1)</f>
        <v>1.1944977477477476</v>
      </c>
      <c r="I10" s="202">
        <f t="shared" si="1"/>
        <v>0.3</v>
      </c>
      <c r="J10" s="217">
        <f t="shared" si="2"/>
        <v>1.552847072072072</v>
      </c>
      <c r="K10" s="212">
        <f>Table1[[#This Row],[Minimum Price]]*1.2</f>
        <v>1.8634164864864862</v>
      </c>
      <c r="L10" s="13"/>
    </row>
    <row r="11" spans="1:18" ht="15.5" hidden="1" x14ac:dyDescent="0.35">
      <c r="B11" s="198" t="s">
        <v>489</v>
      </c>
      <c r="C11" s="198" t="s">
        <v>146</v>
      </c>
      <c r="D11" s="198" t="s">
        <v>66</v>
      </c>
      <c r="E11" s="198"/>
      <c r="F11" s="201">
        <f>'Sausage Roll v2'!D51</f>
        <v>10.676936936936936</v>
      </c>
      <c r="G11" s="202">
        <f t="shared" si="0"/>
        <v>0.15</v>
      </c>
      <c r="H11" s="212">
        <f>F11*(G11+1)</f>
        <v>12.278477477477477</v>
      </c>
      <c r="I11" s="202">
        <f t="shared" si="1"/>
        <v>0.3</v>
      </c>
      <c r="J11" s="217">
        <f t="shared" si="2"/>
        <v>15.962020720720721</v>
      </c>
      <c r="K11" s="212">
        <f>Table1[[#This Row],[Minimum Price]]*1.2</f>
        <v>19.154424864864865</v>
      </c>
      <c r="L11" s="13"/>
    </row>
    <row r="12" spans="1:18" ht="15.5" hidden="1" x14ac:dyDescent="0.35">
      <c r="B12" s="198" t="s">
        <v>529</v>
      </c>
      <c r="C12" s="198" t="s">
        <v>483</v>
      </c>
      <c r="D12" s="198" t="s">
        <v>41</v>
      </c>
      <c r="E12" s="198" t="s">
        <v>166</v>
      </c>
      <c r="F12" s="201">
        <f>'Steak Pie v2'!D54</f>
        <v>1.3877820058570649</v>
      </c>
      <c r="G12" s="202">
        <f t="shared" si="0"/>
        <v>0.15</v>
      </c>
      <c r="H12" s="212">
        <f t="shared" si="3"/>
        <v>1.5959493067356245</v>
      </c>
      <c r="I12" s="202">
        <f t="shared" si="1"/>
        <v>0.3</v>
      </c>
      <c r="J12" s="217">
        <f t="shared" si="2"/>
        <v>2.0747340987563119</v>
      </c>
      <c r="K12" s="212">
        <f>Table1[[#This Row],[Minimum Price]]*1.2</f>
        <v>2.4896809185075743</v>
      </c>
      <c r="L12" s="13"/>
    </row>
    <row r="13" spans="1:18" ht="15.5" hidden="1" x14ac:dyDescent="0.35">
      <c r="B13" s="198" t="s">
        <v>530</v>
      </c>
      <c r="C13" s="198" t="s">
        <v>483</v>
      </c>
      <c r="D13" s="198" t="s">
        <v>41</v>
      </c>
      <c r="E13" s="198" t="s">
        <v>166</v>
      </c>
      <c r="F13" s="201">
        <f>'Steak Pie v2'!D35+'Steak Pie v2'!D53</f>
        <v>1.237782005857065</v>
      </c>
      <c r="G13" s="202">
        <f t="shared" si="0"/>
        <v>0.15</v>
      </c>
      <c r="H13" s="212">
        <f t="shared" si="3"/>
        <v>1.4234493067356246</v>
      </c>
      <c r="I13" s="202">
        <f t="shared" si="1"/>
        <v>0.3</v>
      </c>
      <c r="J13" s="217">
        <f t="shared" si="2"/>
        <v>1.850484098756312</v>
      </c>
      <c r="K13" s="212">
        <f>Table1[[#This Row],[Minimum Price]]*1.2</f>
        <v>2.2205809185075744</v>
      </c>
      <c r="L13" s="13"/>
    </row>
    <row r="14" spans="1:18" ht="15.5" hidden="1" x14ac:dyDescent="0.35">
      <c r="B14" s="198" t="s">
        <v>531</v>
      </c>
      <c r="C14" s="198" t="s">
        <v>483</v>
      </c>
      <c r="D14" s="198" t="s">
        <v>66</v>
      </c>
      <c r="E14" s="198" t="s">
        <v>166</v>
      </c>
      <c r="F14" s="201">
        <f>'Steak Pie v2'!D74</f>
        <v>8.6478031462534997</v>
      </c>
      <c r="G14" s="202">
        <f t="shared" si="0"/>
        <v>0.15</v>
      </c>
      <c r="H14" s="212">
        <f t="shared" si="3"/>
        <v>9.9449736181915238</v>
      </c>
      <c r="I14" s="202">
        <f t="shared" si="1"/>
        <v>0.3</v>
      </c>
      <c r="J14" s="217">
        <f t="shared" si="2"/>
        <v>12.928465703648982</v>
      </c>
      <c r="K14" s="212">
        <f>Table1[[#This Row],[Minimum Price]]*1.2</f>
        <v>15.514158844378777</v>
      </c>
      <c r="L14" s="13"/>
    </row>
    <row r="15" spans="1:18" ht="15.5" hidden="1" x14ac:dyDescent="0.35">
      <c r="B15" s="198" t="s">
        <v>532</v>
      </c>
      <c r="C15" s="198" t="s">
        <v>483</v>
      </c>
      <c r="D15" s="198" t="s">
        <v>66</v>
      </c>
      <c r="E15" s="198" t="s">
        <v>166</v>
      </c>
      <c r="F15" s="201">
        <f>'Steak Pie v2'!D65</f>
        <v>12.811149163824695</v>
      </c>
      <c r="G15" s="202">
        <f t="shared" si="0"/>
        <v>0.15</v>
      </c>
      <c r="H15" s="212">
        <f t="shared" si="3"/>
        <v>14.732821538398397</v>
      </c>
      <c r="I15" s="202">
        <f t="shared" si="1"/>
        <v>0.3</v>
      </c>
      <c r="J15" s="217">
        <f t="shared" si="2"/>
        <v>19.152667999917917</v>
      </c>
      <c r="K15" s="212">
        <f>Table1[[#This Row],[Minimum Price]]*1.2</f>
        <v>22.983201599901498</v>
      </c>
      <c r="L15" s="13"/>
    </row>
    <row r="16" spans="1:18" ht="15.5" hidden="1" x14ac:dyDescent="0.35">
      <c r="B16" s="198" t="s">
        <v>533</v>
      </c>
      <c r="C16" s="198" t="s">
        <v>483</v>
      </c>
      <c r="D16" s="198" t="s">
        <v>66</v>
      </c>
      <c r="E16" s="198" t="s">
        <v>166</v>
      </c>
      <c r="F16" s="201">
        <f>'Steak Pie v2'!D83</f>
        <v>15.174495181395889</v>
      </c>
      <c r="G16" s="202">
        <f t="shared" si="0"/>
        <v>0.15</v>
      </c>
      <c r="H16" s="212">
        <f t="shared" si="3"/>
        <v>17.450669458605272</v>
      </c>
      <c r="I16" s="202">
        <f t="shared" si="1"/>
        <v>0.3</v>
      </c>
      <c r="J16" s="217">
        <f t="shared" si="2"/>
        <v>22.685870296186856</v>
      </c>
      <c r="K16" s="212">
        <f>Table1[[#This Row],[Minimum Price]]*1.2</f>
        <v>27.223044355424225</v>
      </c>
      <c r="L16" s="13"/>
    </row>
    <row r="17" spans="2:12" ht="15.5" hidden="1" x14ac:dyDescent="0.35">
      <c r="B17" s="198" t="s">
        <v>529</v>
      </c>
      <c r="C17" s="198" t="s">
        <v>483</v>
      </c>
      <c r="D17" s="198" t="s">
        <v>41</v>
      </c>
      <c r="E17" s="198" t="s">
        <v>42</v>
      </c>
      <c r="F17" s="201">
        <f>'Steak Pie v2'!I54</f>
        <v>2.5601668077159281</v>
      </c>
      <c r="G17" s="202">
        <f t="shared" si="0"/>
        <v>0.15</v>
      </c>
      <c r="H17" s="212">
        <f t="shared" si="3"/>
        <v>2.9441918288733171</v>
      </c>
      <c r="I17" s="202">
        <f t="shared" si="1"/>
        <v>0.3</v>
      </c>
      <c r="J17" s="217">
        <f t="shared" si="2"/>
        <v>3.8274493775353124</v>
      </c>
      <c r="K17" s="212">
        <f>Table1[[#This Row],[Minimum Price]]*1.2</f>
        <v>4.5929392530423749</v>
      </c>
      <c r="L17" s="13"/>
    </row>
    <row r="18" spans="2:12" ht="15.5" hidden="1" x14ac:dyDescent="0.35">
      <c r="B18" s="198" t="s">
        <v>534</v>
      </c>
      <c r="C18" s="198" t="s">
        <v>483</v>
      </c>
      <c r="D18" s="198" t="s">
        <v>41</v>
      </c>
      <c r="E18" s="198" t="s">
        <v>42</v>
      </c>
      <c r="F18" s="201">
        <f>'Steak Pie v2'!I54</f>
        <v>2.5601668077159281</v>
      </c>
      <c r="G18" s="202">
        <f t="shared" si="0"/>
        <v>0.15</v>
      </c>
      <c r="H18" s="212">
        <f t="shared" si="3"/>
        <v>2.9441918288733171</v>
      </c>
      <c r="I18" s="202">
        <f t="shared" si="1"/>
        <v>0.3</v>
      </c>
      <c r="J18" s="217">
        <f t="shared" si="2"/>
        <v>3.8274493775353124</v>
      </c>
      <c r="K18" s="212">
        <f>Table1[[#This Row],[Minimum Price]]*1.2</f>
        <v>4.5929392530423749</v>
      </c>
      <c r="L18" s="13"/>
    </row>
    <row r="19" spans="2:12" ht="15.5" hidden="1" x14ac:dyDescent="0.35">
      <c r="B19" s="198" t="s">
        <v>535</v>
      </c>
      <c r="C19" s="198" t="s">
        <v>483</v>
      </c>
      <c r="D19" s="198" t="s">
        <v>66</v>
      </c>
      <c r="E19" s="198" t="s">
        <v>42</v>
      </c>
      <c r="F19" s="201">
        <f>'Steak Pie v2'!I65</f>
        <v>10.561778341974822</v>
      </c>
      <c r="G19" s="202">
        <f t="shared" si="0"/>
        <v>0.15</v>
      </c>
      <c r="H19" s="212">
        <f t="shared" si="3"/>
        <v>12.146045093271045</v>
      </c>
      <c r="I19" s="202">
        <f t="shared" si="1"/>
        <v>0.3</v>
      </c>
      <c r="J19" s="217">
        <f t="shared" si="2"/>
        <v>15.789858621252359</v>
      </c>
      <c r="K19" s="212">
        <f>Table1[[#This Row],[Minimum Price]]*1.2</f>
        <v>18.94783034550283</v>
      </c>
      <c r="L19" s="13"/>
    </row>
    <row r="20" spans="2:12" ht="15.5" hidden="1" x14ac:dyDescent="0.35">
      <c r="B20" s="198" t="s">
        <v>534</v>
      </c>
      <c r="C20" s="198" t="s">
        <v>483</v>
      </c>
      <c r="D20" s="198" t="s">
        <v>41</v>
      </c>
      <c r="E20" s="198" t="s">
        <v>43</v>
      </c>
      <c r="F20" s="201">
        <f>'Steak Pie v2'!N54</f>
        <v>5.3284460841463046</v>
      </c>
      <c r="G20" s="202">
        <f t="shared" si="0"/>
        <v>0.15</v>
      </c>
      <c r="H20" s="212">
        <f t="shared" si="3"/>
        <v>6.12771299676825</v>
      </c>
      <c r="I20" s="202">
        <f t="shared" si="1"/>
        <v>0.3</v>
      </c>
      <c r="J20" s="217">
        <f t="shared" si="2"/>
        <v>7.9660268957987252</v>
      </c>
      <c r="K20" s="212">
        <f>Table1[[#This Row],[Minimum Price]]*1.2</f>
        <v>9.5592322749584699</v>
      </c>
      <c r="L20" s="13"/>
    </row>
    <row r="21" spans="2:12" ht="15.5" hidden="1" x14ac:dyDescent="0.35">
      <c r="B21" s="198" t="s">
        <v>536</v>
      </c>
      <c r="C21" s="198" t="s">
        <v>483</v>
      </c>
      <c r="D21" s="198" t="s">
        <v>41</v>
      </c>
      <c r="E21" s="198" t="s">
        <v>166</v>
      </c>
      <c r="F21" s="201">
        <f>'Steak &amp; Ale Pie v2'!D54</f>
        <v>1.4129883775384811</v>
      </c>
      <c r="G21" s="202">
        <f t="shared" si="0"/>
        <v>0.15</v>
      </c>
      <c r="H21" s="212">
        <f>F21*(G21+1)</f>
        <v>1.624936634169253</v>
      </c>
      <c r="I21" s="202">
        <f t="shared" si="1"/>
        <v>0.3</v>
      </c>
      <c r="J21" s="217">
        <f t="shared" si="2"/>
        <v>2.1124176244200292</v>
      </c>
      <c r="K21" s="212">
        <f>Table1[[#This Row],[Minimum Price]]*1.2</f>
        <v>2.534901149304035</v>
      </c>
      <c r="L21" s="13"/>
    </row>
    <row r="22" spans="2:12" ht="15.5" hidden="1" x14ac:dyDescent="0.35">
      <c r="B22" s="198" t="s">
        <v>537</v>
      </c>
      <c r="C22" s="198" t="s">
        <v>483</v>
      </c>
      <c r="D22" s="198" t="s">
        <v>66</v>
      </c>
      <c r="E22" s="198" t="s">
        <v>166</v>
      </c>
      <c r="F22" s="201">
        <f>'Steak &amp; Ale Pie v2'!D74</f>
        <v>8.7990413763419966</v>
      </c>
      <c r="G22" s="202">
        <f t="shared" si="0"/>
        <v>0.15</v>
      </c>
      <c r="H22" s="212">
        <f t="shared" ref="H22:H24" si="4">F22*(G22+1)</f>
        <v>10.118897582793295</v>
      </c>
      <c r="I22" s="202">
        <f t="shared" si="1"/>
        <v>0.3</v>
      </c>
      <c r="J22" s="217">
        <f t="shared" ref="J22:J24" si="5">H22*(1+$J$4)</f>
        <v>13.154566857631284</v>
      </c>
      <c r="K22" s="212">
        <f>Table1[[#This Row],[Minimum Price]]*1.2</f>
        <v>15.785480229157541</v>
      </c>
      <c r="L22" s="13"/>
    </row>
    <row r="23" spans="2:12" ht="15.5" hidden="1" x14ac:dyDescent="0.35">
      <c r="B23" s="198" t="s">
        <v>538</v>
      </c>
      <c r="C23" s="198" t="s">
        <v>483</v>
      </c>
      <c r="D23" s="198" t="s">
        <v>66</v>
      </c>
      <c r="E23" s="198" t="s">
        <v>166</v>
      </c>
      <c r="F23" s="201">
        <f>'Steak &amp; Ale Pie v2'!D65</f>
        <v>13.038006508957439</v>
      </c>
      <c r="G23" s="202">
        <f t="shared" si="0"/>
        <v>0.15</v>
      </c>
      <c r="H23" s="212">
        <f t="shared" si="4"/>
        <v>14.993707485301053</v>
      </c>
      <c r="I23" s="202">
        <f t="shared" si="1"/>
        <v>0.3</v>
      </c>
      <c r="J23" s="217">
        <f t="shared" si="5"/>
        <v>19.491819730891368</v>
      </c>
      <c r="K23" s="212">
        <f>Table1[[#This Row],[Minimum Price]]*1.2</f>
        <v>23.39018367706964</v>
      </c>
      <c r="L23" s="13"/>
    </row>
    <row r="24" spans="2:12" ht="15.5" hidden="1" x14ac:dyDescent="0.35">
      <c r="B24" s="198" t="s">
        <v>539</v>
      </c>
      <c r="C24" s="198" t="s">
        <v>483</v>
      </c>
      <c r="D24" s="198" t="s">
        <v>66</v>
      </c>
      <c r="E24" s="198" t="s">
        <v>166</v>
      </c>
      <c r="F24" s="201">
        <f>'Steak &amp; Ale Pie v2'!D83</f>
        <v>17.276971641572885</v>
      </c>
      <c r="G24" s="202">
        <f t="shared" si="0"/>
        <v>0.15</v>
      </c>
      <c r="H24" s="212">
        <f t="shared" si="4"/>
        <v>19.868517387808815</v>
      </c>
      <c r="I24" s="202">
        <f t="shared" si="1"/>
        <v>0.3</v>
      </c>
      <c r="J24" s="217">
        <f t="shared" si="5"/>
        <v>25.82907260415146</v>
      </c>
      <c r="K24" s="212">
        <f>Table1[[#This Row],[Minimum Price]]*1.2</f>
        <v>30.994887124981751</v>
      </c>
      <c r="L24" s="13"/>
    </row>
    <row r="25" spans="2:12" ht="15.5" hidden="1" x14ac:dyDescent="0.35">
      <c r="B25" s="198" t="s">
        <v>536</v>
      </c>
      <c r="C25" s="198" t="s">
        <v>483</v>
      </c>
      <c r="D25" s="198" t="s">
        <v>41</v>
      </c>
      <c r="E25" s="198" t="s">
        <v>42</v>
      </c>
      <c r="F25" s="201">
        <f>'Steak &amp; Ale Pie v2'!I54</f>
        <v>2.6103841528486713</v>
      </c>
      <c r="G25" s="202">
        <f t="shared" si="0"/>
        <v>0.15</v>
      </c>
      <c r="H25" s="212">
        <f t="shared" ref="H25:H28" si="6">F25*(G25+1)</f>
        <v>3.0019417757759719</v>
      </c>
      <c r="I25" s="202">
        <f t="shared" si="1"/>
        <v>0.3</v>
      </c>
      <c r="J25" s="217">
        <f t="shared" ref="J25:J28" si="7">H25*(1+$J$4)</f>
        <v>3.9025243085087635</v>
      </c>
      <c r="K25" s="212">
        <f>Table1[[#This Row],[Minimum Price]]*1.2</f>
        <v>4.6830291702105162</v>
      </c>
      <c r="L25" s="13"/>
    </row>
    <row r="26" spans="2:12" ht="15.5" hidden="1" x14ac:dyDescent="0.35">
      <c r="B26" s="198" t="s">
        <v>540</v>
      </c>
      <c r="C26" s="198" t="s">
        <v>483</v>
      </c>
      <c r="D26" s="198" t="s">
        <v>41</v>
      </c>
      <c r="E26" s="198" t="s">
        <v>42</v>
      </c>
      <c r="F26" s="201">
        <f>'Steak &amp; Ale Pie v2'!I54</f>
        <v>2.6103841528486713</v>
      </c>
      <c r="G26" s="202">
        <f t="shared" si="0"/>
        <v>0.15</v>
      </c>
      <c r="H26" s="212">
        <f t="shared" si="6"/>
        <v>3.0019417757759719</v>
      </c>
      <c r="I26" s="202">
        <f t="shared" si="1"/>
        <v>0.3</v>
      </c>
      <c r="J26" s="217">
        <f t="shared" si="7"/>
        <v>3.9025243085087635</v>
      </c>
      <c r="K26" s="212">
        <f>Table1[[#This Row],[Minimum Price]]*1.2</f>
        <v>4.6830291702105162</v>
      </c>
      <c r="L26" s="13"/>
    </row>
    <row r="27" spans="2:12" ht="15.5" hidden="1" x14ac:dyDescent="0.35">
      <c r="B27" s="198" t="s">
        <v>541</v>
      </c>
      <c r="C27" s="198" t="s">
        <v>483</v>
      </c>
      <c r="D27" s="198" t="s">
        <v>66</v>
      </c>
      <c r="E27" s="198" t="s">
        <v>42</v>
      </c>
      <c r="F27" s="201">
        <f>'Steak &amp; Ale Pie v2'!I65</f>
        <v>10.762647722505795</v>
      </c>
      <c r="G27" s="202">
        <f t="shared" si="0"/>
        <v>0.15</v>
      </c>
      <c r="H27" s="212">
        <f t="shared" si="6"/>
        <v>12.377044880881664</v>
      </c>
      <c r="I27" s="202">
        <f t="shared" si="1"/>
        <v>0.3</v>
      </c>
      <c r="J27" s="217">
        <f t="shared" si="7"/>
        <v>16.090158345146165</v>
      </c>
      <c r="K27" s="212">
        <f>Table1[[#This Row],[Minimum Price]]*1.2</f>
        <v>19.308190014175398</v>
      </c>
      <c r="L27" s="13"/>
    </row>
    <row r="28" spans="2:12" ht="15.5" hidden="1" x14ac:dyDescent="0.35">
      <c r="B28" s="198" t="s">
        <v>540</v>
      </c>
      <c r="C28" s="198" t="s">
        <v>483</v>
      </c>
      <c r="D28" s="198" t="s">
        <v>41</v>
      </c>
      <c r="E28" s="198" t="s">
        <v>43</v>
      </c>
      <c r="F28" s="201">
        <f>'Steak &amp; Ale Pie v2'!N54</f>
        <v>5.4730407744117917</v>
      </c>
      <c r="G28" s="202">
        <f t="shared" si="0"/>
        <v>0.15</v>
      </c>
      <c r="H28" s="212">
        <f t="shared" si="6"/>
        <v>6.2939968905735597</v>
      </c>
      <c r="I28" s="202">
        <f t="shared" si="1"/>
        <v>0.3</v>
      </c>
      <c r="J28" s="217">
        <f t="shared" si="7"/>
        <v>8.1821959577456287</v>
      </c>
      <c r="K28" s="212">
        <f>Table1[[#This Row],[Minimum Price]]*1.2</f>
        <v>9.8186351492947548</v>
      </c>
      <c r="L28" s="13"/>
    </row>
    <row r="29" spans="2:12" ht="15.5" hidden="1" x14ac:dyDescent="0.35">
      <c r="B29" s="198" t="s">
        <v>542</v>
      </c>
      <c r="C29" s="198" t="s">
        <v>483</v>
      </c>
      <c r="D29" s="198" t="s">
        <v>41</v>
      </c>
      <c r="E29" s="198" t="s">
        <v>166</v>
      </c>
      <c r="F29" s="201">
        <f>'Steak &amp; Kidney Pie v2'!D54</f>
        <v>1.3250836626539242</v>
      </c>
      <c r="G29" s="202">
        <f t="shared" si="0"/>
        <v>0.15</v>
      </c>
      <c r="H29" s="212">
        <f t="shared" ref="H29:H36" si="8">F29*(G29+1)</f>
        <v>1.5238462120520126</v>
      </c>
      <c r="I29" s="202">
        <f t="shared" si="1"/>
        <v>0.3</v>
      </c>
      <c r="J29" s="217">
        <f t="shared" ref="J29:J36" si="9">H29*(1+$J$4)</f>
        <v>1.9810000756676165</v>
      </c>
      <c r="K29" s="212">
        <f>Table1[[#This Row],[Minimum Price]]*1.2</f>
        <v>2.3772000908011397</v>
      </c>
      <c r="L29" s="13"/>
    </row>
    <row r="30" spans="2:12" ht="15.5" hidden="1" x14ac:dyDescent="0.35">
      <c r="B30" s="198" t="s">
        <v>543</v>
      </c>
      <c r="C30" s="198" t="s">
        <v>483</v>
      </c>
      <c r="D30" s="198" t="s">
        <v>66</v>
      </c>
      <c r="E30" s="198" t="s">
        <v>166</v>
      </c>
      <c r="F30" s="201">
        <f>'Steak &amp; Kidney Pie v2'!D74</f>
        <v>8.2716130870346554</v>
      </c>
      <c r="G30" s="202">
        <f t="shared" si="0"/>
        <v>0.15</v>
      </c>
      <c r="H30" s="212">
        <f t="shared" si="8"/>
        <v>9.5123550500898535</v>
      </c>
      <c r="I30" s="202">
        <f t="shared" si="1"/>
        <v>0.3</v>
      </c>
      <c r="J30" s="217">
        <f t="shared" si="9"/>
        <v>12.36606156511681</v>
      </c>
      <c r="K30" s="212">
        <f>Table1[[#This Row],[Minimum Price]]*1.2</f>
        <v>14.839273878140173</v>
      </c>
      <c r="L30" s="13"/>
    </row>
    <row r="31" spans="2:12" ht="15.5" hidden="1" x14ac:dyDescent="0.35">
      <c r="B31" s="198" t="s">
        <v>544</v>
      </c>
      <c r="C31" s="198" t="s">
        <v>483</v>
      </c>
      <c r="D31" s="198" t="s">
        <v>66</v>
      </c>
      <c r="E31" s="198" t="s">
        <v>166</v>
      </c>
      <c r="F31" s="201">
        <f>'Steak &amp; Kidney Pie v2'!D65</f>
        <v>12.246864074996427</v>
      </c>
      <c r="G31" s="202">
        <f t="shared" si="0"/>
        <v>0.15</v>
      </c>
      <c r="H31" s="212">
        <f t="shared" si="8"/>
        <v>14.08389368624589</v>
      </c>
      <c r="I31" s="202">
        <f t="shared" si="1"/>
        <v>0.3</v>
      </c>
      <c r="J31" s="217">
        <f t="shared" si="9"/>
        <v>18.309061792119657</v>
      </c>
      <c r="K31" s="212">
        <f>Table1[[#This Row],[Minimum Price]]*1.2</f>
        <v>21.970874150543587</v>
      </c>
      <c r="L31" s="13"/>
    </row>
    <row r="32" spans="2:12" ht="15.5" hidden="1" x14ac:dyDescent="0.35">
      <c r="B32" s="198" t="s">
        <v>545</v>
      </c>
      <c r="C32" s="198" t="s">
        <v>483</v>
      </c>
      <c r="D32" s="198" t="s">
        <v>66</v>
      </c>
      <c r="E32" s="198" t="s">
        <v>166</v>
      </c>
      <c r="F32" s="201">
        <f>'Steak &amp; Kidney Pie v2'!D83</f>
        <v>16.222115062958203</v>
      </c>
      <c r="G32" s="202">
        <f t="shared" si="0"/>
        <v>0.15</v>
      </c>
      <c r="H32" s="212">
        <f t="shared" si="8"/>
        <v>18.655432322401932</v>
      </c>
      <c r="I32" s="202">
        <f t="shared" si="1"/>
        <v>0.3</v>
      </c>
      <c r="J32" s="217">
        <f t="shared" si="9"/>
        <v>24.252062019122512</v>
      </c>
      <c r="K32" s="212">
        <f>Table1[[#This Row],[Minimum Price]]*1.2</f>
        <v>29.102474422947012</v>
      </c>
      <c r="L32" s="13"/>
    </row>
    <row r="33" spans="2:12" ht="15.5" hidden="1" x14ac:dyDescent="0.35">
      <c r="B33" s="198" t="s">
        <v>542</v>
      </c>
      <c r="C33" s="198" t="s">
        <v>483</v>
      </c>
      <c r="D33" s="198" t="s">
        <v>41</v>
      </c>
      <c r="E33" s="198" t="s">
        <v>42</v>
      </c>
      <c r="F33" s="201">
        <f>'Steak &amp; Kidney Pie v2'!I54</f>
        <v>2.4352561549778882</v>
      </c>
      <c r="G33" s="202">
        <f t="shared" si="0"/>
        <v>0.15</v>
      </c>
      <c r="H33" s="212">
        <f t="shared" si="8"/>
        <v>2.8005445782245713</v>
      </c>
      <c r="I33" s="202">
        <f t="shared" si="1"/>
        <v>0.3</v>
      </c>
      <c r="J33" s="217">
        <f t="shared" si="9"/>
        <v>3.6407079516919429</v>
      </c>
      <c r="K33" s="212">
        <f>Table1[[#This Row],[Minimum Price]]*1.2</f>
        <v>4.3688495420303317</v>
      </c>
      <c r="L33" s="13"/>
    </row>
    <row r="34" spans="2:12" ht="15.5" hidden="1" x14ac:dyDescent="0.35">
      <c r="B34" s="198" t="s">
        <v>546</v>
      </c>
      <c r="C34" s="198" t="s">
        <v>483</v>
      </c>
      <c r="D34" s="198" t="s">
        <v>41</v>
      </c>
      <c r="E34" s="198" t="s">
        <v>42</v>
      </c>
      <c r="F34" s="201">
        <f>'Steak &amp; Kidney Pie v2'!I54</f>
        <v>2.4352561549778882</v>
      </c>
      <c r="G34" s="202">
        <f t="shared" si="0"/>
        <v>0.15</v>
      </c>
      <c r="H34" s="212">
        <f t="shared" si="8"/>
        <v>2.8005445782245713</v>
      </c>
      <c r="I34" s="202">
        <f t="shared" si="1"/>
        <v>0.3</v>
      </c>
      <c r="J34" s="217">
        <f t="shared" si="9"/>
        <v>3.6407079516919429</v>
      </c>
      <c r="K34" s="212">
        <f>Table1[[#This Row],[Minimum Price]]*1.2</f>
        <v>4.3688495420303317</v>
      </c>
      <c r="L34" s="13"/>
    </row>
    <row r="35" spans="2:12" ht="15.5" hidden="1" x14ac:dyDescent="0.35">
      <c r="B35" s="198" t="s">
        <v>547</v>
      </c>
      <c r="C35" s="198" t="s">
        <v>483</v>
      </c>
      <c r="D35" s="198" t="s">
        <v>66</v>
      </c>
      <c r="E35" s="198" t="s">
        <v>42</v>
      </c>
      <c r="F35" s="201">
        <f>'Steak &amp; Kidney Pie v2'!I65</f>
        <v>10.062135731022662</v>
      </c>
      <c r="G35" s="202">
        <f t="shared" si="0"/>
        <v>0.15</v>
      </c>
      <c r="H35" s="212">
        <f t="shared" si="8"/>
        <v>11.571456090676062</v>
      </c>
      <c r="I35" s="202">
        <f t="shared" si="1"/>
        <v>0.3</v>
      </c>
      <c r="J35" s="217">
        <f t="shared" si="9"/>
        <v>15.042892917878881</v>
      </c>
      <c r="K35" s="212">
        <f>Table1[[#This Row],[Minimum Price]]*1.2</f>
        <v>18.051471501454657</v>
      </c>
      <c r="L35" s="13"/>
    </row>
    <row r="36" spans="2:12" ht="15.5" hidden="1" x14ac:dyDescent="0.35">
      <c r="B36" s="198" t="s">
        <v>546</v>
      </c>
      <c r="C36" s="198" t="s">
        <v>483</v>
      </c>
      <c r="D36" s="198" t="s">
        <v>41</v>
      </c>
      <c r="E36" s="198" t="s">
        <v>43</v>
      </c>
      <c r="F36" s="201">
        <f>'Steak &amp; Kidney Pie v2'!N54</f>
        <v>4.9687811696476682</v>
      </c>
      <c r="G36" s="202">
        <f t="shared" si="0"/>
        <v>0.15</v>
      </c>
      <c r="H36" s="212">
        <f t="shared" si="8"/>
        <v>5.7140983450948184</v>
      </c>
      <c r="I36" s="202">
        <f t="shared" si="1"/>
        <v>0.3</v>
      </c>
      <c r="J36" s="217">
        <f t="shared" si="9"/>
        <v>7.4283278486232645</v>
      </c>
      <c r="K36" s="212">
        <f>Table1[[#This Row],[Minimum Price]]*1.2</f>
        <v>8.9139934183479177</v>
      </c>
      <c r="L36" s="13"/>
    </row>
    <row r="37" spans="2:12" ht="15.5" hidden="1" x14ac:dyDescent="0.35">
      <c r="B37" s="198" t="s">
        <v>548</v>
      </c>
      <c r="C37" s="198" t="s">
        <v>483</v>
      </c>
      <c r="D37" s="198" t="s">
        <v>41</v>
      </c>
      <c r="E37" s="198" t="s">
        <v>166</v>
      </c>
      <c r="F37" s="201">
        <f>'Steak &amp; Stilton Pie v2'!D55</f>
        <v>1.504581563379189</v>
      </c>
      <c r="G37" s="202">
        <f t="shared" si="0"/>
        <v>0.15</v>
      </c>
      <c r="H37" s="212">
        <f t="shared" ref="H37:H44" si="10">F37*(G37+1)</f>
        <v>1.7302687978860671</v>
      </c>
      <c r="I37" s="202">
        <f t="shared" si="1"/>
        <v>0.3</v>
      </c>
      <c r="J37" s="217">
        <f t="shared" ref="J37:J44" si="11">H37*(1+$J$4)</f>
        <v>2.2493494372518872</v>
      </c>
      <c r="K37" s="212">
        <f>Table1[[#This Row],[Minimum Price]]*1.2</f>
        <v>2.6992193247022644</v>
      </c>
      <c r="L37" s="13"/>
    </row>
    <row r="38" spans="2:12" ht="15.5" hidden="1" x14ac:dyDescent="0.35">
      <c r="B38" s="198" t="s">
        <v>549</v>
      </c>
      <c r="C38" s="198" t="s">
        <v>483</v>
      </c>
      <c r="D38" s="198" t="s">
        <v>66</v>
      </c>
      <c r="E38" s="198" t="s">
        <v>166</v>
      </c>
      <c r="F38" s="201">
        <f>'Steak &amp; Stilton Pie v2'!D75</f>
        <v>9.3486004913862448</v>
      </c>
      <c r="G38" s="202">
        <f t="shared" si="0"/>
        <v>0.15</v>
      </c>
      <c r="H38" s="212">
        <f t="shared" si="10"/>
        <v>10.750890565094181</v>
      </c>
      <c r="I38" s="202">
        <f t="shared" si="1"/>
        <v>0.3</v>
      </c>
      <c r="J38" s="217">
        <f t="shared" si="11"/>
        <v>13.976157734622436</v>
      </c>
      <c r="K38" s="212">
        <f>Table1[[#This Row],[Minimum Price]]*1.2</f>
        <v>16.771389281546924</v>
      </c>
      <c r="L38" s="13"/>
    </row>
    <row r="39" spans="2:12" ht="15.5" hidden="1" x14ac:dyDescent="0.35">
      <c r="B39" s="198" t="s">
        <v>550</v>
      </c>
      <c r="C39" s="198" t="s">
        <v>483</v>
      </c>
      <c r="D39" s="198" t="s">
        <v>66</v>
      </c>
      <c r="E39" s="198" t="s">
        <v>166</v>
      </c>
      <c r="F39" s="201">
        <f>'Steak &amp; Stilton Pie v2'!D66</f>
        <v>13.862345181523811</v>
      </c>
      <c r="G39" s="202">
        <f t="shared" si="0"/>
        <v>0.15</v>
      </c>
      <c r="H39" s="212">
        <f t="shared" si="10"/>
        <v>15.941696958752381</v>
      </c>
      <c r="I39" s="202">
        <f t="shared" si="1"/>
        <v>0.3</v>
      </c>
      <c r="J39" s="217">
        <f t="shared" si="11"/>
        <v>20.724206046378097</v>
      </c>
      <c r="K39" s="212">
        <f>Table1[[#This Row],[Minimum Price]]*1.2</f>
        <v>24.869047255653715</v>
      </c>
      <c r="L39" s="13"/>
    </row>
    <row r="40" spans="2:12" ht="15.5" hidden="1" x14ac:dyDescent="0.35">
      <c r="B40" s="198" t="s">
        <v>551</v>
      </c>
      <c r="C40" s="198" t="s">
        <v>483</v>
      </c>
      <c r="D40" s="198" t="s">
        <v>66</v>
      </c>
      <c r="E40" s="198" t="s">
        <v>166</v>
      </c>
      <c r="F40" s="201">
        <f>'Steak &amp; Stilton Pie v2'!D84</f>
        <v>18.376089871661382</v>
      </c>
      <c r="G40" s="202">
        <f t="shared" si="0"/>
        <v>0.15</v>
      </c>
      <c r="H40" s="212">
        <f t="shared" si="10"/>
        <v>21.132503352410588</v>
      </c>
      <c r="I40" s="202">
        <f t="shared" si="1"/>
        <v>0.3</v>
      </c>
      <c r="J40" s="217">
        <f t="shared" si="11"/>
        <v>27.472254358133764</v>
      </c>
      <c r="K40" s="212">
        <f>Table1[[#This Row],[Minimum Price]]*1.2</f>
        <v>32.966705229760514</v>
      </c>
      <c r="L40" s="13"/>
    </row>
    <row r="41" spans="2:12" ht="15.5" hidden="1" x14ac:dyDescent="0.35">
      <c r="B41" s="198" t="s">
        <v>548</v>
      </c>
      <c r="C41" s="198" t="s">
        <v>483</v>
      </c>
      <c r="D41" s="198" t="s">
        <v>41</v>
      </c>
      <c r="E41" s="198" t="s">
        <v>42</v>
      </c>
      <c r="F41" s="201">
        <f>'Steak &amp; Stilton Pie v2'!I55</f>
        <v>2.722162825415043</v>
      </c>
      <c r="G41" s="202">
        <f t="shared" si="0"/>
        <v>0.15</v>
      </c>
      <c r="H41" s="212">
        <f t="shared" si="10"/>
        <v>3.1304872492272993</v>
      </c>
      <c r="I41" s="202">
        <f t="shared" si="1"/>
        <v>0.3</v>
      </c>
      <c r="J41" s="217">
        <f t="shared" si="11"/>
        <v>4.069633423995489</v>
      </c>
      <c r="K41" s="212">
        <f>Table1[[#This Row],[Minimum Price]]*1.2</f>
        <v>4.8835601087945868</v>
      </c>
      <c r="L41" s="13"/>
    </row>
    <row r="42" spans="2:12" ht="15.5" hidden="1" x14ac:dyDescent="0.35">
      <c r="B42" s="198" t="s">
        <v>552</v>
      </c>
      <c r="C42" s="198" t="s">
        <v>483</v>
      </c>
      <c r="D42" s="198" t="s">
        <v>41</v>
      </c>
      <c r="E42" s="198" t="s">
        <v>42</v>
      </c>
      <c r="F42" s="201">
        <f>'Steak &amp; Stilton Pie v2'!I55</f>
        <v>2.722162825415043</v>
      </c>
      <c r="G42" s="202">
        <f t="shared" si="0"/>
        <v>0.15</v>
      </c>
      <c r="H42" s="212">
        <f t="shared" si="10"/>
        <v>3.1304872492272993</v>
      </c>
      <c r="I42" s="202">
        <f t="shared" si="1"/>
        <v>0.3</v>
      </c>
      <c r="J42" s="217">
        <f t="shared" si="11"/>
        <v>4.069633423995489</v>
      </c>
      <c r="K42" s="212">
        <f>Table1[[#This Row],[Minimum Price]]*1.2</f>
        <v>4.8835601087945868</v>
      </c>
      <c r="L42" s="13"/>
    </row>
    <row r="43" spans="2:12" ht="15.5" hidden="1" x14ac:dyDescent="0.35">
      <c r="B43" s="198" t="s">
        <v>553</v>
      </c>
      <c r="C43" s="198" t="s">
        <v>483</v>
      </c>
      <c r="D43" s="198" t="s">
        <v>66</v>
      </c>
      <c r="E43" s="198" t="s">
        <v>42</v>
      </c>
      <c r="F43" s="201">
        <f>'Steak &amp; Stilton Pie v2'!I66</f>
        <v>11.209762412771282</v>
      </c>
      <c r="G43" s="202">
        <f t="shared" si="0"/>
        <v>0.15</v>
      </c>
      <c r="H43" s="212">
        <f t="shared" si="10"/>
        <v>12.891226774686972</v>
      </c>
      <c r="I43" s="202">
        <f t="shared" si="1"/>
        <v>0.3</v>
      </c>
      <c r="J43" s="217">
        <f t="shared" si="11"/>
        <v>16.758594807093065</v>
      </c>
      <c r="K43" s="212">
        <f>Table1[[#This Row],[Minimum Price]]*1.2</f>
        <v>20.110313768511677</v>
      </c>
      <c r="L43" s="13"/>
    </row>
    <row r="44" spans="2:12" ht="15.5" hidden="1" x14ac:dyDescent="0.35">
      <c r="B44" s="198" t="s">
        <v>552</v>
      </c>
      <c r="C44" s="198" t="s">
        <v>483</v>
      </c>
      <c r="D44" s="198" t="s">
        <v>41</v>
      </c>
      <c r="E44" s="198" t="s">
        <v>43</v>
      </c>
      <c r="F44" s="201">
        <f>'Steak &amp; Stilton Pie v2'!N55</f>
        <v>5.6609881195445348</v>
      </c>
      <c r="G44" s="202">
        <f t="shared" si="0"/>
        <v>0.15</v>
      </c>
      <c r="H44" s="212">
        <f t="shared" si="10"/>
        <v>6.5101363374762142</v>
      </c>
      <c r="I44" s="202">
        <f t="shared" si="1"/>
        <v>0.3</v>
      </c>
      <c r="J44" s="217">
        <f t="shared" si="11"/>
        <v>8.4631772387190782</v>
      </c>
      <c r="K44" s="212">
        <f>Table1[[#This Row],[Minimum Price]]*1.2</f>
        <v>10.155812686462893</v>
      </c>
      <c r="L44" s="13"/>
    </row>
    <row r="45" spans="2:12" ht="15.5" hidden="1" x14ac:dyDescent="0.35">
      <c r="B45" s="198" t="s">
        <v>525</v>
      </c>
      <c r="C45" s="198" t="s">
        <v>483</v>
      </c>
      <c r="D45" s="198" t="s">
        <v>41</v>
      </c>
      <c r="E45" s="198" t="s">
        <v>166</v>
      </c>
      <c r="F45" s="201">
        <f>'C&amp;H Pie v2'!D56</f>
        <v>1.1617266722048287</v>
      </c>
      <c r="G45" s="202">
        <f t="shared" ref="G45:G52" si="12">F$4</f>
        <v>0.15</v>
      </c>
      <c r="H45" s="212">
        <f t="shared" ref="H45:H52" si="13">F45*(G45+1)</f>
        <v>1.3359856730355528</v>
      </c>
      <c r="I45" s="202">
        <f t="shared" ref="I45:I52" si="14">J$4</f>
        <v>0.3</v>
      </c>
      <c r="J45" s="217">
        <f t="shared" ref="J45:J52" si="15">H45*(1+$J$4)</f>
        <v>1.7367813749462186</v>
      </c>
      <c r="K45" s="212">
        <f>Table1[[#This Row],[Minimum Price]]*1.2</f>
        <v>2.0841376499354625</v>
      </c>
      <c r="L45" s="13"/>
    </row>
    <row r="46" spans="2:12" ht="15.5" hidden="1" x14ac:dyDescent="0.35">
      <c r="B46" s="198" t="s">
        <v>526</v>
      </c>
      <c r="C46" s="198" t="s">
        <v>483</v>
      </c>
      <c r="D46" s="198" t="s">
        <v>66</v>
      </c>
      <c r="E46" s="198" t="s">
        <v>166</v>
      </c>
      <c r="F46" s="201">
        <f>'C&amp;H Pie v2'!D75</f>
        <v>7.2914711443400835</v>
      </c>
      <c r="G46" s="202">
        <f t="shared" si="12"/>
        <v>0.15</v>
      </c>
      <c r="H46" s="212">
        <f t="shared" si="13"/>
        <v>8.3851918159910959</v>
      </c>
      <c r="I46" s="202">
        <f t="shared" si="14"/>
        <v>0.3</v>
      </c>
      <c r="J46" s="217">
        <f t="shared" si="15"/>
        <v>10.900749360788424</v>
      </c>
      <c r="K46" s="212">
        <f>Table1[[#This Row],[Minimum Price]]*1.2</f>
        <v>13.080899232946109</v>
      </c>
      <c r="L46" s="13"/>
    </row>
    <row r="47" spans="2:12" ht="15.5" hidden="1" x14ac:dyDescent="0.35">
      <c r="B47" s="198" t="s">
        <v>527</v>
      </c>
      <c r="C47" s="198" t="s">
        <v>483</v>
      </c>
      <c r="D47" s="198" t="s">
        <v>66</v>
      </c>
      <c r="E47" s="198" t="s">
        <v>166</v>
      </c>
      <c r="F47" s="201">
        <f>'C&amp;H Pie v2'!D66</f>
        <v>10.776651160954568</v>
      </c>
      <c r="G47" s="202">
        <f t="shared" si="12"/>
        <v>0.15</v>
      </c>
      <c r="H47" s="212">
        <f t="shared" si="13"/>
        <v>12.393148835097753</v>
      </c>
      <c r="I47" s="202">
        <f t="shared" si="14"/>
        <v>0.3</v>
      </c>
      <c r="J47" s="217">
        <f t="shared" si="15"/>
        <v>16.11109348562708</v>
      </c>
      <c r="K47" s="212">
        <f>Table1[[#This Row],[Minimum Price]]*1.2</f>
        <v>19.333312182752497</v>
      </c>
      <c r="L47" s="13"/>
    </row>
    <row r="48" spans="2:12" ht="15.5" hidden="1" x14ac:dyDescent="0.35">
      <c r="B48" s="198" t="s">
        <v>528</v>
      </c>
      <c r="C48" s="198" t="s">
        <v>483</v>
      </c>
      <c r="D48" s="198" t="s">
        <v>66</v>
      </c>
      <c r="E48" s="198" t="s">
        <v>166</v>
      </c>
      <c r="F48" s="201">
        <f>'C&amp;H Pie v2'!D84</f>
        <v>14.261831177569055</v>
      </c>
      <c r="G48" s="202">
        <f t="shared" si="12"/>
        <v>0.15</v>
      </c>
      <c r="H48" s="212">
        <f t="shared" si="13"/>
        <v>16.401105854204413</v>
      </c>
      <c r="I48" s="202">
        <f t="shared" si="14"/>
        <v>0.3</v>
      </c>
      <c r="J48" s="217">
        <f t="shared" si="15"/>
        <v>21.32143761046574</v>
      </c>
      <c r="K48" s="212">
        <f>Table1[[#This Row],[Minimum Price]]*1.2</f>
        <v>25.585725132558888</v>
      </c>
      <c r="L48" s="13"/>
    </row>
    <row r="49" spans="2:14" ht="15.5" hidden="1" x14ac:dyDescent="0.35">
      <c r="B49" s="198" t="s">
        <v>525</v>
      </c>
      <c r="C49" s="198" t="s">
        <v>483</v>
      </c>
      <c r="D49" s="198" t="s">
        <v>41</v>
      </c>
      <c r="E49" s="198" t="s">
        <v>42</v>
      </c>
      <c r="F49" s="201">
        <f>'C&amp;H Pie v2'!I56</f>
        <v>2.4826485345755311</v>
      </c>
      <c r="G49" s="202">
        <f t="shared" si="12"/>
        <v>0.15</v>
      </c>
      <c r="H49" s="212">
        <f t="shared" si="13"/>
        <v>2.8550458147618607</v>
      </c>
      <c r="I49" s="202">
        <f t="shared" si="14"/>
        <v>0.3</v>
      </c>
      <c r="J49" s="217">
        <f t="shared" si="15"/>
        <v>3.7115595591904191</v>
      </c>
      <c r="K49" s="212">
        <f>Table1[[#This Row],[Minimum Price]]*1.2</f>
        <v>4.4538714710285028</v>
      </c>
      <c r="L49" s="13"/>
    </row>
    <row r="50" spans="2:14" ht="15.5" hidden="1" x14ac:dyDescent="0.35">
      <c r="B50" s="198" t="s">
        <v>554</v>
      </c>
      <c r="C50" s="198" t="s">
        <v>483</v>
      </c>
      <c r="D50" s="198" t="s">
        <v>41</v>
      </c>
      <c r="E50" s="198" t="s">
        <v>42</v>
      </c>
      <c r="F50" s="201">
        <f>'C&amp;H Pie v2'!I56</f>
        <v>2.4826485345755311</v>
      </c>
      <c r="G50" s="202">
        <f t="shared" si="12"/>
        <v>0.15</v>
      </c>
      <c r="H50" s="212">
        <f t="shared" si="13"/>
        <v>2.8550458147618607</v>
      </c>
      <c r="I50" s="202">
        <f t="shared" si="14"/>
        <v>0.3</v>
      </c>
      <c r="J50" s="217">
        <f t="shared" si="15"/>
        <v>3.7115595591904191</v>
      </c>
      <c r="K50" s="212">
        <f>Table1[[#This Row],[Minimum Price]]*1.2</f>
        <v>4.4538714710285028</v>
      </c>
      <c r="L50" s="13"/>
    </row>
    <row r="51" spans="2:14" ht="15.5" hidden="1" x14ac:dyDescent="0.35">
      <c r="B51" s="198" t="s">
        <v>555</v>
      </c>
      <c r="C51" s="198" t="s">
        <v>483</v>
      </c>
      <c r="D51" s="198" t="s">
        <v>66</v>
      </c>
      <c r="E51" s="198" t="s">
        <v>42</v>
      </c>
      <c r="F51" s="201">
        <f>'C&amp;H Pie v2'!I66</f>
        <v>10.251705249413234</v>
      </c>
      <c r="G51" s="202">
        <f t="shared" si="12"/>
        <v>0.15</v>
      </c>
      <c r="H51" s="212">
        <f t="shared" si="13"/>
        <v>11.789461036825218</v>
      </c>
      <c r="I51" s="202">
        <f t="shared" si="14"/>
        <v>0.3</v>
      </c>
      <c r="J51" s="217">
        <f t="shared" si="15"/>
        <v>15.326299347872784</v>
      </c>
      <c r="K51" s="212">
        <f>Table1[[#This Row],[Minimum Price]]*1.2</f>
        <v>18.391559217447341</v>
      </c>
      <c r="L51" s="13"/>
    </row>
    <row r="52" spans="2:14" ht="15.5" hidden="1" x14ac:dyDescent="0.35">
      <c r="B52" s="198" t="s">
        <v>554</v>
      </c>
      <c r="C52" s="198" t="s">
        <v>483</v>
      </c>
      <c r="D52" s="198" t="s">
        <v>41</v>
      </c>
      <c r="E52" s="198" t="s">
        <v>43</v>
      </c>
      <c r="F52" s="201">
        <f>'C&amp;H Pie v2'!N56</f>
        <v>4.2382095378655098</v>
      </c>
      <c r="G52" s="202">
        <f t="shared" si="12"/>
        <v>0.15</v>
      </c>
      <c r="H52" s="212">
        <f t="shared" si="13"/>
        <v>4.8739409685453357</v>
      </c>
      <c r="I52" s="202">
        <f t="shared" si="14"/>
        <v>0.3</v>
      </c>
      <c r="J52" s="217">
        <f t="shared" si="15"/>
        <v>6.3361232591089367</v>
      </c>
      <c r="K52" s="212">
        <f>Table1[[#This Row],[Minimum Price]]*1.2</f>
        <v>7.603347910930724</v>
      </c>
      <c r="L52" s="13"/>
    </row>
    <row r="53" spans="2:14" ht="15.5" hidden="1" x14ac:dyDescent="0.35">
      <c r="B53" s="198" t="s">
        <v>556</v>
      </c>
      <c r="C53" s="198" t="s">
        <v>483</v>
      </c>
      <c r="D53" s="198" t="s">
        <v>41</v>
      </c>
      <c r="E53" s="198" t="s">
        <v>166</v>
      </c>
      <c r="F53" s="201">
        <f>'C&amp;C Pie v2'!D55</f>
        <v>1.1964941912208507</v>
      </c>
      <c r="G53" s="202">
        <f t="shared" ref="G53:G60" si="16">F$4</f>
        <v>0.15</v>
      </c>
      <c r="H53" s="212">
        <f t="shared" ref="H53:H60" si="17">F53*(G53+1)</f>
        <v>1.3759683199039781</v>
      </c>
      <c r="I53" s="202">
        <f t="shared" ref="I53:I60" si="18">J$4</f>
        <v>0.3</v>
      </c>
      <c r="J53" s="217">
        <f t="shared" ref="J53:J60" si="19">H53*(1+$J$4)</f>
        <v>1.7887588158751715</v>
      </c>
      <c r="K53" s="212">
        <f>Table1[[#This Row],[Minimum Price]]*1.2</f>
        <v>2.1465105790502057</v>
      </c>
      <c r="L53" s="13"/>
      <c r="N53" s="13"/>
    </row>
    <row r="54" spans="2:14" ht="15.5" hidden="1" x14ac:dyDescent="0.35">
      <c r="B54" s="198" t="s">
        <v>559</v>
      </c>
      <c r="C54" s="198" t="s">
        <v>483</v>
      </c>
      <c r="D54" s="198" t="s">
        <v>66</v>
      </c>
      <c r="E54" s="198" t="s">
        <v>166</v>
      </c>
      <c r="F54" s="201">
        <f>'C&amp;C Pie v2'!D75</f>
        <v>7.8889651473251039</v>
      </c>
      <c r="G54" s="202">
        <f t="shared" si="16"/>
        <v>0.15</v>
      </c>
      <c r="H54" s="212">
        <f t="shared" si="17"/>
        <v>9.0723099194238692</v>
      </c>
      <c r="I54" s="202">
        <f t="shared" si="18"/>
        <v>0.3</v>
      </c>
      <c r="J54" s="217">
        <f t="shared" si="19"/>
        <v>11.79400289525103</v>
      </c>
      <c r="K54" s="212">
        <f>Table1[[#This Row],[Minimum Price]]*1.2</f>
        <v>14.152803474301235</v>
      </c>
      <c r="L54" s="13"/>
      <c r="N54" s="13"/>
    </row>
    <row r="55" spans="2:14" ht="15.5" hidden="1" x14ac:dyDescent="0.35">
      <c r="B55" s="198" t="s">
        <v>560</v>
      </c>
      <c r="C55" s="198" t="s">
        <v>483</v>
      </c>
      <c r="D55" s="198" t="s">
        <v>66</v>
      </c>
      <c r="E55" s="198" t="s">
        <v>166</v>
      </c>
      <c r="F55" s="201">
        <f>'C&amp;C Pie v2'!D66</f>
        <v>11.478447720987655</v>
      </c>
      <c r="G55" s="202">
        <f t="shared" si="16"/>
        <v>0.15</v>
      </c>
      <c r="H55" s="212">
        <f t="shared" si="17"/>
        <v>13.200214879135801</v>
      </c>
      <c r="I55" s="202">
        <f t="shared" si="18"/>
        <v>0.3</v>
      </c>
      <c r="J55" s="217">
        <f t="shared" si="19"/>
        <v>17.160279342876542</v>
      </c>
      <c r="K55" s="212">
        <f>Table1[[#This Row],[Minimum Price]]*1.2</f>
        <v>20.59233521145185</v>
      </c>
      <c r="L55" s="13"/>
      <c r="N55" s="13"/>
    </row>
    <row r="56" spans="2:14" ht="15.5" hidden="1" x14ac:dyDescent="0.35">
      <c r="B56" s="198" t="s">
        <v>561</v>
      </c>
      <c r="C56" s="198" t="s">
        <v>483</v>
      </c>
      <c r="D56" s="198" t="s">
        <v>66</v>
      </c>
      <c r="E56" s="198" t="s">
        <v>166</v>
      </c>
      <c r="F56" s="201">
        <f>'C&amp;C Pie v2'!D84</f>
        <v>15.067930294650207</v>
      </c>
      <c r="G56" s="202">
        <f t="shared" si="16"/>
        <v>0.15</v>
      </c>
      <c r="H56" s="212">
        <f t="shared" si="17"/>
        <v>17.328119838847737</v>
      </c>
      <c r="I56" s="202">
        <f t="shared" si="18"/>
        <v>0.3</v>
      </c>
      <c r="J56" s="217">
        <f t="shared" si="19"/>
        <v>22.526555790502059</v>
      </c>
      <c r="K56" s="212">
        <f>Table1[[#This Row],[Minimum Price]]*1.2</f>
        <v>27.03186694860247</v>
      </c>
      <c r="L56" s="13"/>
      <c r="N56" s="13"/>
    </row>
    <row r="57" spans="2:14" ht="15.5" hidden="1" x14ac:dyDescent="0.35">
      <c r="B57" s="198" t="s">
        <v>556</v>
      </c>
      <c r="C57" s="198" t="s">
        <v>483</v>
      </c>
      <c r="D57" s="198" t="s">
        <v>41</v>
      </c>
      <c r="E57" s="198" t="s">
        <v>42</v>
      </c>
      <c r="F57" s="201">
        <f>'C&amp;C Pie v2'!I55</f>
        <v>2.3663743801816159</v>
      </c>
      <c r="G57" s="202">
        <f t="shared" si="16"/>
        <v>0.15</v>
      </c>
      <c r="H57" s="212">
        <f t="shared" si="17"/>
        <v>2.7213305372088583</v>
      </c>
      <c r="I57" s="202">
        <f t="shared" si="18"/>
        <v>0.3</v>
      </c>
      <c r="J57" s="217">
        <f t="shared" si="19"/>
        <v>3.5377296983715159</v>
      </c>
      <c r="K57" s="212">
        <f>Table1[[#This Row],[Minimum Price]]*1.2</f>
        <v>4.2452756380458192</v>
      </c>
      <c r="L57" s="13"/>
      <c r="N57" s="13"/>
    </row>
    <row r="58" spans="2:14" ht="15.5" hidden="1" x14ac:dyDescent="0.35">
      <c r="B58" s="198" t="s">
        <v>557</v>
      </c>
      <c r="C58" s="198" t="s">
        <v>483</v>
      </c>
      <c r="D58" s="198" t="s">
        <v>41</v>
      </c>
      <c r="E58" s="198" t="s">
        <v>42</v>
      </c>
      <c r="F58" s="201">
        <f>'C&amp;C Pie v2'!I55</f>
        <v>2.3663743801816159</v>
      </c>
      <c r="G58" s="202">
        <f t="shared" si="16"/>
        <v>0.15</v>
      </c>
      <c r="H58" s="212">
        <f t="shared" si="17"/>
        <v>2.7213305372088583</v>
      </c>
      <c r="I58" s="202">
        <f t="shared" si="18"/>
        <v>0.3</v>
      </c>
      <c r="J58" s="217">
        <f t="shared" si="19"/>
        <v>3.5377296983715159</v>
      </c>
      <c r="K58" s="212">
        <f>Table1[[#This Row],[Minimum Price]]*1.2</f>
        <v>4.2452756380458192</v>
      </c>
      <c r="L58" s="13"/>
      <c r="N58" s="13"/>
    </row>
    <row r="59" spans="2:14" ht="15.5" hidden="1" x14ac:dyDescent="0.35">
      <c r="B59" s="198" t="s">
        <v>558</v>
      </c>
      <c r="C59" s="198" t="s">
        <v>483</v>
      </c>
      <c r="D59" s="198" t="s">
        <v>66</v>
      </c>
      <c r="E59" s="198" t="s">
        <v>42</v>
      </c>
      <c r="F59" s="201">
        <f>'C&amp;C Pie v2'!I66</f>
        <v>10.175497520726463</v>
      </c>
      <c r="G59" s="202">
        <f t="shared" si="16"/>
        <v>0.15</v>
      </c>
      <c r="H59" s="212">
        <f t="shared" si="17"/>
        <v>11.701822148835431</v>
      </c>
      <c r="I59" s="202">
        <f t="shared" si="18"/>
        <v>0.3</v>
      </c>
      <c r="J59" s="217">
        <f t="shared" si="19"/>
        <v>15.212368793486061</v>
      </c>
      <c r="K59" s="212">
        <f>Table1[[#This Row],[Minimum Price]]*1.2</f>
        <v>18.254842552183273</v>
      </c>
      <c r="L59" s="13"/>
      <c r="N59" s="13"/>
    </row>
    <row r="60" spans="2:14" ht="15.5" hidden="1" x14ac:dyDescent="0.35">
      <c r="B60" s="198" t="s">
        <v>557</v>
      </c>
      <c r="C60" s="198" t="s">
        <v>483</v>
      </c>
      <c r="D60" s="198" t="s">
        <v>41</v>
      </c>
      <c r="E60" s="198" t="s">
        <v>43</v>
      </c>
      <c r="F60" s="201">
        <f>'C&amp;C Pie v2'!N55</f>
        <v>4.0056612290776803</v>
      </c>
      <c r="G60" s="202">
        <f t="shared" si="16"/>
        <v>0.15</v>
      </c>
      <c r="H60" s="212">
        <f t="shared" si="17"/>
        <v>4.6065104134393318</v>
      </c>
      <c r="I60" s="202">
        <f t="shared" si="18"/>
        <v>0.3</v>
      </c>
      <c r="J60" s="217">
        <f t="shared" si="19"/>
        <v>5.9884635374711319</v>
      </c>
      <c r="K60" s="212">
        <f>Table1[[#This Row],[Minimum Price]]*1.2</f>
        <v>7.1861562449653578</v>
      </c>
      <c r="L60" s="13"/>
      <c r="N60" s="13"/>
    </row>
    <row r="61" spans="2:14" ht="15.5" hidden="1" x14ac:dyDescent="0.35">
      <c r="B61" s="198" t="s">
        <v>570</v>
      </c>
      <c r="C61" s="198" t="s">
        <v>564</v>
      </c>
      <c r="D61" s="198" t="s">
        <v>66</v>
      </c>
      <c r="E61" s="198" t="s">
        <v>30</v>
      </c>
      <c r="F61" s="201">
        <f>'Pork Pie v2'!D66</f>
        <v>1.4031860652461337</v>
      </c>
      <c r="G61" s="202">
        <f>F$4</f>
        <v>0.15</v>
      </c>
      <c r="H61" s="212">
        <f>F61*(G61+1)</f>
        <v>1.6136639750330535</v>
      </c>
      <c r="I61" s="202">
        <f>J$4</f>
        <v>0.3</v>
      </c>
      <c r="J61" s="217">
        <f>H61*(1+$J$4)</f>
        <v>2.0977631675429698</v>
      </c>
      <c r="K61" s="212">
        <f>Table1[[#This Row],[Minimum Price]]*1.2</f>
        <v>2.5173158010515637</v>
      </c>
      <c r="L61" s="13"/>
      <c r="N61" s="13"/>
    </row>
    <row r="62" spans="2:14" ht="15.5" hidden="1" x14ac:dyDescent="0.35">
      <c r="B62" s="198" t="s">
        <v>571</v>
      </c>
      <c r="C62" s="198" t="s">
        <v>564</v>
      </c>
      <c r="D62" s="198" t="s">
        <v>66</v>
      </c>
      <c r="E62" s="198" t="s">
        <v>30</v>
      </c>
      <c r="F62" s="201">
        <f>'Pork Pie v2'!I66</f>
        <v>4.0228915290717344</v>
      </c>
      <c r="G62" s="202">
        <f t="shared" ref="G62:G67" si="20">F$4</f>
        <v>0.15</v>
      </c>
      <c r="H62" s="212">
        <f t="shared" ref="H62:H67" si="21">F62*(G62+1)</f>
        <v>4.6263252584324945</v>
      </c>
      <c r="I62" s="202">
        <f t="shared" ref="I62:I67" si="22">J$4</f>
        <v>0.3</v>
      </c>
      <c r="J62" s="217">
        <f t="shared" ref="J62:J67" si="23">H62*(1+$J$4)</f>
        <v>6.0142228359622427</v>
      </c>
      <c r="K62" s="212">
        <f>Table1[[#This Row],[Minimum Price]]*1.2</f>
        <v>7.2170674031546911</v>
      </c>
      <c r="L62" s="13"/>
      <c r="N62" s="13"/>
    </row>
    <row r="63" spans="2:14" ht="15.5" hidden="1" x14ac:dyDescent="0.35">
      <c r="B63" s="198" t="s">
        <v>574</v>
      </c>
      <c r="C63" s="198" t="s">
        <v>564</v>
      </c>
      <c r="D63" s="198" t="s">
        <v>66</v>
      </c>
      <c r="E63" s="198" t="s">
        <v>166</v>
      </c>
      <c r="F63" s="201">
        <f>'Pork Pie v2'!D82</f>
        <v>6.2475855551425461</v>
      </c>
      <c r="G63" s="202">
        <f t="shared" si="20"/>
        <v>0.15</v>
      </c>
      <c r="H63" s="212">
        <f t="shared" si="21"/>
        <v>7.1847233884139277</v>
      </c>
      <c r="I63" s="202">
        <f t="shared" si="22"/>
        <v>0.3</v>
      </c>
      <c r="J63" s="217">
        <f t="shared" si="23"/>
        <v>9.340140404938106</v>
      </c>
      <c r="K63" s="212">
        <f>Table1[[#This Row],[Minimum Price]]*1.2</f>
        <v>11.208168485925727</v>
      </c>
      <c r="L63" s="13"/>
      <c r="N63" s="13"/>
    </row>
    <row r="64" spans="2:14" ht="15.5" hidden="1" x14ac:dyDescent="0.35">
      <c r="B64" s="198" t="s">
        <v>575</v>
      </c>
      <c r="C64" s="198" t="s">
        <v>564</v>
      </c>
      <c r="D64" s="198" t="s">
        <v>66</v>
      </c>
      <c r="E64" s="198" t="s">
        <v>166</v>
      </c>
      <c r="F64" s="201">
        <f>'Pork Pie v2'!I82</f>
        <v>8.982136888228073</v>
      </c>
      <c r="G64" s="202">
        <f t="shared" si="20"/>
        <v>0.15</v>
      </c>
      <c r="H64" s="212">
        <f t="shared" si="21"/>
        <v>10.329457421462283</v>
      </c>
      <c r="I64" s="202">
        <f t="shared" si="22"/>
        <v>0.3</v>
      </c>
      <c r="J64" s="217">
        <f t="shared" si="23"/>
        <v>13.428294647900969</v>
      </c>
      <c r="K64" s="212">
        <f>Table1[[#This Row],[Minimum Price]]*1.2</f>
        <v>16.113953577481162</v>
      </c>
      <c r="L64" s="13"/>
      <c r="N64" s="13"/>
    </row>
    <row r="65" spans="2:14" ht="15.5" hidden="1" x14ac:dyDescent="0.35">
      <c r="B65" s="198" t="s">
        <v>576</v>
      </c>
      <c r="C65" s="198" t="s">
        <v>564</v>
      </c>
      <c r="D65" s="198" t="s">
        <v>66</v>
      </c>
      <c r="E65" s="198" t="s">
        <v>42</v>
      </c>
      <c r="F65" s="201">
        <f>'Pork Pie v2'!D96</f>
        <v>10.044410466439134</v>
      </c>
      <c r="G65" s="202">
        <f t="shared" si="20"/>
        <v>0.15</v>
      </c>
      <c r="H65" s="212">
        <f t="shared" si="21"/>
        <v>11.551072036405003</v>
      </c>
      <c r="I65" s="202">
        <f t="shared" si="22"/>
        <v>0.3</v>
      </c>
      <c r="J65" s="217">
        <f t="shared" si="23"/>
        <v>15.016393647326504</v>
      </c>
      <c r="K65" s="212">
        <f>Table1[[#This Row],[Minimum Price]]*1.2</f>
        <v>18.019672376791803</v>
      </c>
      <c r="L65" s="13"/>
      <c r="N65" s="13"/>
    </row>
    <row r="66" spans="2:14" ht="15.5" hidden="1" x14ac:dyDescent="0.35">
      <c r="B66" s="198" t="s">
        <v>577</v>
      </c>
      <c r="C66" s="198" t="s">
        <v>564</v>
      </c>
      <c r="D66" s="198" t="s">
        <v>66</v>
      </c>
      <c r="E66" s="198" t="s">
        <v>42</v>
      </c>
      <c r="F66" s="201">
        <f>'Pork Pie v2'!I96</f>
        <v>14.371615699658699</v>
      </c>
      <c r="G66" s="202">
        <f t="shared" si="20"/>
        <v>0.15</v>
      </c>
      <c r="H66" s="212">
        <f t="shared" si="21"/>
        <v>16.527358054607504</v>
      </c>
      <c r="I66" s="202">
        <f t="shared" si="22"/>
        <v>0.3</v>
      </c>
      <c r="J66" s="217">
        <f t="shared" si="23"/>
        <v>21.485565470989755</v>
      </c>
      <c r="K66" s="212">
        <f>Table1[[#This Row],[Minimum Price]]*1.2</f>
        <v>25.782678565187705</v>
      </c>
      <c r="L66" s="13"/>
      <c r="N66" s="13"/>
    </row>
    <row r="67" spans="2:14" ht="15.5" hidden="1" x14ac:dyDescent="0.35">
      <c r="B67" s="198" t="s">
        <v>578</v>
      </c>
      <c r="C67" s="198" t="s">
        <v>564</v>
      </c>
      <c r="D67" s="198" t="s">
        <v>41</v>
      </c>
      <c r="E67" s="198" t="s">
        <v>566</v>
      </c>
      <c r="F67" s="201">
        <f>'Pork Pie v2'!D55</f>
        <v>8.0236425483503986</v>
      </c>
      <c r="G67" s="202">
        <f t="shared" si="20"/>
        <v>0.15</v>
      </c>
      <c r="H67" s="212">
        <f t="shared" si="21"/>
        <v>9.2271889306029582</v>
      </c>
      <c r="I67" s="202">
        <f t="shared" si="22"/>
        <v>0.3</v>
      </c>
      <c r="J67" s="217">
        <f t="shared" si="23"/>
        <v>11.995345609783847</v>
      </c>
      <c r="K67" s="212">
        <f>Table1[[#This Row],[Minimum Price]]*1.2</f>
        <v>14.394414731740616</v>
      </c>
      <c r="L67" s="13"/>
      <c r="N67" s="13"/>
    </row>
    <row r="68" spans="2:14" ht="15.5" hidden="1" x14ac:dyDescent="0.35">
      <c r="B68" s="198" t="s">
        <v>579</v>
      </c>
      <c r="C68" s="198" t="s">
        <v>564</v>
      </c>
      <c r="D68" s="198" t="s">
        <v>41</v>
      </c>
      <c r="E68" s="198" t="s">
        <v>568</v>
      </c>
      <c r="F68" s="201">
        <f>'Pork Pie v2'!I55</f>
        <v>14.118830602957908</v>
      </c>
      <c r="G68" s="202">
        <f>F$4</f>
        <v>0.15</v>
      </c>
      <c r="H68" s="212">
        <f>F68*(G68+1)</f>
        <v>16.236655193401592</v>
      </c>
      <c r="I68" s="202">
        <f>J$4</f>
        <v>0.3</v>
      </c>
      <c r="J68" s="217">
        <f>H68*(1+$J$4)</f>
        <v>21.107651751422072</v>
      </c>
      <c r="K68" s="212">
        <f>Table1[[#This Row],[Minimum Price]]*1.2</f>
        <v>25.329182101706486</v>
      </c>
      <c r="L68" s="13"/>
      <c r="N68" s="13"/>
    </row>
    <row r="69" spans="2:14" ht="15.5" hidden="1" x14ac:dyDescent="0.35">
      <c r="B69" s="198" t="s">
        <v>580</v>
      </c>
      <c r="C69" s="198" t="s">
        <v>564</v>
      </c>
      <c r="D69" s="198" t="s">
        <v>41</v>
      </c>
      <c r="E69" s="198" t="s">
        <v>30</v>
      </c>
      <c r="F69" s="201">
        <f>'Pork Pie v2'!D42</f>
        <v>0.65492636595640019</v>
      </c>
      <c r="G69" s="202">
        <f>F$4</f>
        <v>0.15</v>
      </c>
      <c r="H69" s="212">
        <f>F69*(G69+1)</f>
        <v>0.75316532084986021</v>
      </c>
      <c r="I69" s="202">
        <f>J$4</f>
        <v>0.3</v>
      </c>
      <c r="J69" s="217">
        <f>H69*(1+$J$4)</f>
        <v>0.97911491710481835</v>
      </c>
      <c r="K69" s="212">
        <f>Table1[[#This Row],[Minimum Price]]*1.2</f>
        <v>1.1749379005257821</v>
      </c>
      <c r="L69" s="13"/>
      <c r="N69" s="13"/>
    </row>
    <row r="70" spans="2:14" ht="15.5" hidden="1" x14ac:dyDescent="0.35">
      <c r="B70" s="198" t="s">
        <v>581</v>
      </c>
      <c r="C70" s="198" t="s">
        <v>564</v>
      </c>
      <c r="D70" s="198" t="s">
        <v>41</v>
      </c>
      <c r="E70" s="198" t="s">
        <v>166</v>
      </c>
      <c r="F70" s="201">
        <f>'Pork Pie v2'!I42</f>
        <v>0.91151711102850919</v>
      </c>
      <c r="G70" s="202">
        <f>F$4</f>
        <v>0.15</v>
      </c>
      <c r="H70" s="212">
        <f>F70*(G70+1)</f>
        <v>1.0482446776827854</v>
      </c>
      <c r="I70" s="202">
        <f>J$4</f>
        <v>0.3</v>
      </c>
      <c r="J70" s="217">
        <f>H70*(1+$J$4)</f>
        <v>1.3627180809876211</v>
      </c>
      <c r="K70" s="212">
        <f>Table1[[#This Row],[Minimum Price]]*1.2</f>
        <v>1.6352616971851452</v>
      </c>
      <c r="L70" s="13"/>
      <c r="N70" s="13"/>
    </row>
    <row r="71" spans="2:14" ht="15.5" hidden="1" x14ac:dyDescent="0.35">
      <c r="B71" s="198" t="s">
        <v>582</v>
      </c>
      <c r="C71" s="198" t="s">
        <v>564</v>
      </c>
      <c r="D71" s="198" t="s">
        <v>41</v>
      </c>
      <c r="E71" s="198" t="s">
        <v>42</v>
      </c>
      <c r="F71" s="201">
        <f>'Pork Pie v2'!N42</f>
        <v>2.1036026166097836</v>
      </c>
      <c r="G71" s="202">
        <f>F$4</f>
        <v>0.15</v>
      </c>
      <c r="H71" s="212">
        <f>F71*(G71+1)</f>
        <v>2.4191430091012509</v>
      </c>
      <c r="I71" s="202">
        <f>J$4</f>
        <v>0.3</v>
      </c>
      <c r="J71" s="217">
        <f>H71*(1+$J$4)</f>
        <v>3.1448859118316261</v>
      </c>
      <c r="K71" s="212">
        <f>Table1[[#This Row],[Minimum Price]]*1.2</f>
        <v>3.7738630941979512</v>
      </c>
      <c r="L71" s="13"/>
      <c r="N71" s="13"/>
    </row>
    <row r="72" spans="2:14" ht="15.5" x14ac:dyDescent="0.35">
      <c r="B72" s="198" t="s">
        <v>596</v>
      </c>
      <c r="C72" s="198" t="s">
        <v>249</v>
      </c>
      <c r="D72" s="198" t="s">
        <v>41</v>
      </c>
      <c r="E72" s="198"/>
      <c r="F72" s="265">
        <f>'Whole Haslet v2'!D40</f>
        <v>2.1714141414141417</v>
      </c>
      <c r="G72" s="202">
        <f>F$4</f>
        <v>0.15</v>
      </c>
      <c r="H72" s="212">
        <f>F72*(G72+1)</f>
        <v>2.4971262626262627</v>
      </c>
      <c r="I72" s="202">
        <f>J$4</f>
        <v>0.3</v>
      </c>
      <c r="J72" s="267">
        <f>H72*(1+$J$4)</f>
        <v>3.2462641414141418</v>
      </c>
      <c r="K72" s="212">
        <f>Table1[[#This Row],[Minimum Price]]*1.2</f>
        <v>3.89551696969697</v>
      </c>
      <c r="L72" s="13"/>
      <c r="N72" s="13"/>
    </row>
    <row r="73" spans="2:14" ht="15.5" x14ac:dyDescent="0.35">
      <c r="B73" s="198" t="s">
        <v>597</v>
      </c>
      <c r="C73" s="198" t="s">
        <v>249</v>
      </c>
      <c r="D73" s="198" t="s">
        <v>66</v>
      </c>
      <c r="E73" s="198"/>
      <c r="F73" s="265">
        <f>'Whole Haslet v2'!D51</f>
        <v>13.31848484848485</v>
      </c>
      <c r="G73" s="202">
        <f>F$4</f>
        <v>0.15</v>
      </c>
      <c r="H73" s="212">
        <f>F73*(G73+1)</f>
        <v>15.316257575757577</v>
      </c>
      <c r="I73" s="202">
        <f>J$4</f>
        <v>0.3</v>
      </c>
      <c r="J73" s="267">
        <f>H73*(1+$J$4)</f>
        <v>19.911134848484849</v>
      </c>
      <c r="K73" s="212">
        <f>Table1[[#This Row],[Minimum Price]]*1.2</f>
        <v>23.89336181818182</v>
      </c>
      <c r="L73" s="13"/>
      <c r="N73" s="13"/>
    </row>
    <row r="74" spans="2:14" ht="15.5" x14ac:dyDescent="0.35">
      <c r="B74" s="198" t="s">
        <v>609</v>
      </c>
      <c r="C74" s="198" t="s">
        <v>249</v>
      </c>
      <c r="D74" s="198" t="s">
        <v>41</v>
      </c>
      <c r="E74" s="198"/>
      <c r="F74" s="265">
        <f>'Sliced Haslet - 120g'!D40</f>
        <v>1.1106734006734007</v>
      </c>
      <c r="G74" s="202">
        <f>F$4</f>
        <v>0.15</v>
      </c>
      <c r="H74" s="266">
        <f>F74*(G74+1)</f>
        <v>1.2772744107744107</v>
      </c>
      <c r="I74" s="202">
        <f>J$4</f>
        <v>0.3</v>
      </c>
      <c r="J74" s="267">
        <f>H74*(1+$J$4)</f>
        <v>1.660456734006734</v>
      </c>
      <c r="K74" s="8">
        <f>Table1[[#This Row],[Minimum Price]]*1.2</f>
        <v>1.9925480808080807</v>
      </c>
    </row>
    <row r="75" spans="2:14" ht="15.5" x14ac:dyDescent="0.35">
      <c r="B75" s="198" t="s">
        <v>602</v>
      </c>
      <c r="C75" s="198" t="s">
        <v>249</v>
      </c>
      <c r="D75" s="198" t="s">
        <v>41</v>
      </c>
      <c r="E75" s="198"/>
      <c r="F75" s="265">
        <f>'Sliced Haslet - 160g'!D40</f>
        <v>1.3291919191919193</v>
      </c>
      <c r="G75" s="202">
        <f>F$4</f>
        <v>0.15</v>
      </c>
      <c r="H75" s="266">
        <f>F75*(G75+1)</f>
        <v>1.5285707070707071</v>
      </c>
      <c r="I75" s="202">
        <f>J$4</f>
        <v>0.3</v>
      </c>
      <c r="J75" s="267">
        <f>H75*(1+$J$4)</f>
        <v>1.9871419191919193</v>
      </c>
      <c r="K75" s="8">
        <f>Table1[[#This Row],[Minimum Price]]*1.2</f>
        <v>2.3845703030303032</v>
      </c>
    </row>
    <row r="76" spans="2:14" ht="15.5" x14ac:dyDescent="0.35">
      <c r="B76" s="198" t="s">
        <v>611</v>
      </c>
      <c r="C76" s="198" t="s">
        <v>249</v>
      </c>
      <c r="D76" s="198" t="s">
        <v>66</v>
      </c>
      <c r="E76" s="198"/>
      <c r="F76" s="265">
        <f>'Sliced Haslet - 120g'!D51</f>
        <v>6.9540404040404047</v>
      </c>
      <c r="G76" s="202">
        <f>F$4</f>
        <v>0.15</v>
      </c>
      <c r="H76" s="266">
        <f>F76*(G76+1)</f>
        <v>7.9971464646464652</v>
      </c>
      <c r="I76" s="202">
        <f>J$4</f>
        <v>0.3</v>
      </c>
      <c r="J76" s="267">
        <f>H76*(1+$J$4)</f>
        <v>10.396290404040405</v>
      </c>
      <c r="K76" s="8">
        <f>Table1[[#This Row],[Minimum Price]]*1.2</f>
        <v>12.475548484848487</v>
      </c>
    </row>
    <row r="77" spans="2:14" ht="15.5" x14ac:dyDescent="0.35">
      <c r="B77" s="198" t="s">
        <v>612</v>
      </c>
      <c r="C77" s="198" t="s">
        <v>249</v>
      </c>
      <c r="D77" s="198" t="s">
        <v>66</v>
      </c>
      <c r="E77" s="198"/>
      <c r="F77" s="265">
        <f>'Sliced Haslet - 120g'!D60</f>
        <v>13.618080808080808</v>
      </c>
      <c r="G77" s="202">
        <f>F$4</f>
        <v>0.15</v>
      </c>
      <c r="H77" s="266">
        <f>F77*(G77+1)</f>
        <v>15.660792929292928</v>
      </c>
      <c r="I77" s="202">
        <f>J$4</f>
        <v>0.3</v>
      </c>
      <c r="J77" s="267">
        <f>H77*(1+$J$4)</f>
        <v>20.359030808080806</v>
      </c>
      <c r="K77" s="8">
        <f>Table1[[#This Row],[Minimum Price]]*1.2</f>
        <v>24.430836969696966</v>
      </c>
    </row>
    <row r="78" spans="2:14" ht="15.5" x14ac:dyDescent="0.35">
      <c r="B78" s="198" t="s">
        <v>613</v>
      </c>
      <c r="C78" s="198" t="s">
        <v>249</v>
      </c>
      <c r="D78" s="198" t="s">
        <v>66</v>
      </c>
      <c r="E78" s="198"/>
      <c r="F78" s="265">
        <f>'Sliced Haslet - 160g'!D51</f>
        <v>8.2651515151515156</v>
      </c>
      <c r="G78" s="202">
        <f>F$4</f>
        <v>0.15</v>
      </c>
      <c r="H78" s="266">
        <f>F78*(G78+1)</f>
        <v>9.5049242424242415</v>
      </c>
      <c r="I78" s="202">
        <f>J$4</f>
        <v>0.3</v>
      </c>
      <c r="J78" s="267">
        <f>H78*(1+$J$4)</f>
        <v>12.356401515151514</v>
      </c>
      <c r="K78" s="8">
        <f>Table1[[#This Row],[Minimum Price]]*1.2</f>
        <v>14.827681818181816</v>
      </c>
    </row>
    <row r="79" spans="2:14" ht="15.5" x14ac:dyDescent="0.35">
      <c r="B79" s="198" t="s">
        <v>614</v>
      </c>
      <c r="C79" s="198" t="s">
        <v>249</v>
      </c>
      <c r="D79" s="198" t="s">
        <v>66</v>
      </c>
      <c r="E79" s="198"/>
      <c r="F79" s="265">
        <f>'Sliced Haslet - 160g'!D60</f>
        <v>16.240303030303032</v>
      </c>
      <c r="G79" s="202">
        <f>F$4</f>
        <v>0.15</v>
      </c>
      <c r="H79" s="266">
        <f>F79*(G79+1)</f>
        <v>18.676348484848486</v>
      </c>
      <c r="I79" s="202">
        <f>J$4</f>
        <v>0.3</v>
      </c>
      <c r="J79" s="267">
        <f>H79*(1+$J$4)</f>
        <v>24.279253030303032</v>
      </c>
      <c r="K79" s="8">
        <f>Table1[[#This Row],[Minimum Price]]*1.2</f>
        <v>29.135103636363638</v>
      </c>
    </row>
    <row r="80" spans="2:14" ht="15.5" x14ac:dyDescent="0.35">
      <c r="B80" s="198" t="s">
        <v>598</v>
      </c>
      <c r="C80" s="198" t="s">
        <v>598</v>
      </c>
      <c r="D80" s="198" t="s">
        <v>41</v>
      </c>
      <c r="E80" s="198" t="s">
        <v>599</v>
      </c>
      <c r="F80" s="265">
        <f>'Scoth Eggs v2'!D42</f>
        <v>0.87166666666666681</v>
      </c>
      <c r="G80" s="202">
        <f>F$4</f>
        <v>0.15</v>
      </c>
      <c r="H80" s="212">
        <f>F80*(G80+1)</f>
        <v>1.0024166666666667</v>
      </c>
      <c r="I80" s="202">
        <f>J$4</f>
        <v>0.3</v>
      </c>
      <c r="J80" s="267">
        <f>H80*(1+$J$4)</f>
        <v>1.3031416666666669</v>
      </c>
      <c r="K80" s="212">
        <f>Table1[[#This Row],[Minimum Price]]*1.2</f>
        <v>1.5637700000000001</v>
      </c>
    </row>
    <row r="81" spans="2:11" ht="15.5" x14ac:dyDescent="0.35">
      <c r="B81" s="198" t="s">
        <v>600</v>
      </c>
      <c r="C81" s="198" t="s">
        <v>598</v>
      </c>
      <c r="D81" s="198" t="s">
        <v>66</v>
      </c>
      <c r="E81" s="198" t="s">
        <v>599</v>
      </c>
      <c r="F81" s="265">
        <f>'Scoth Eggs v2'!D53</f>
        <v>5.5200000000000005</v>
      </c>
      <c r="G81" s="202">
        <f>F$4</f>
        <v>0.15</v>
      </c>
      <c r="H81" s="212">
        <f>F81*(G81+1)</f>
        <v>6.3479999999999999</v>
      </c>
      <c r="I81" s="202">
        <f>J$4</f>
        <v>0.3</v>
      </c>
      <c r="J81" s="267">
        <f>H81*(1+$J$4)</f>
        <v>8.2523999999999997</v>
      </c>
      <c r="K81" s="212">
        <f>Table1[[#This Row],[Minimum Price]]*1.2</f>
        <v>9.9028799999999997</v>
      </c>
    </row>
    <row r="82" spans="2:11" ht="15.5" x14ac:dyDescent="0.35">
      <c r="B82" s="198" t="s">
        <v>601</v>
      </c>
      <c r="C82" s="198" t="s">
        <v>598</v>
      </c>
      <c r="D82" s="198" t="s">
        <v>66</v>
      </c>
      <c r="E82" s="198" t="s">
        <v>599</v>
      </c>
      <c r="F82" s="265">
        <f>'Scoth Eggs v2'!D62</f>
        <v>8.1350000000000016</v>
      </c>
      <c r="G82" s="202">
        <f>F$4</f>
        <v>0.15</v>
      </c>
      <c r="H82" s="212">
        <f>F82*(G82+1)</f>
        <v>9.3552500000000016</v>
      </c>
      <c r="I82" s="202">
        <f>J$4</f>
        <v>0.3</v>
      </c>
      <c r="J82" s="267">
        <f>H82*(1+$J$4)</f>
        <v>12.161825000000002</v>
      </c>
      <c r="K82" s="212">
        <f>Table1[[#This Row],[Minimum Price]]*1.2</f>
        <v>14.594190000000001</v>
      </c>
    </row>
    <row r="83" spans="2:11" ht="15.5" x14ac:dyDescent="0.35">
      <c r="B83" s="198" t="s">
        <v>598</v>
      </c>
      <c r="C83" s="198" t="s">
        <v>598</v>
      </c>
      <c r="D83" s="198" t="s">
        <v>41</v>
      </c>
      <c r="E83" s="198" t="s">
        <v>487</v>
      </c>
      <c r="F83" s="265">
        <f>'Scoth Eggs v2'!I42</f>
        <v>1.5933333333333337</v>
      </c>
      <c r="G83" s="202">
        <f>F$4</f>
        <v>0.15</v>
      </c>
      <c r="H83" s="212">
        <f>F83*(G83+1)</f>
        <v>1.8323333333333336</v>
      </c>
      <c r="I83" s="202">
        <f>J$4</f>
        <v>0.3</v>
      </c>
      <c r="J83" s="267">
        <f>H83*(1+$J$4)</f>
        <v>2.3820333333333337</v>
      </c>
      <c r="K83" s="212">
        <f>Table1[[#This Row],[Minimum Price]]*1.2</f>
        <v>2.8584400000000003</v>
      </c>
    </row>
    <row r="84" spans="2:11" ht="15.5" x14ac:dyDescent="0.35">
      <c r="B84" s="198" t="s">
        <v>600</v>
      </c>
      <c r="C84" s="198" t="s">
        <v>598</v>
      </c>
      <c r="D84" s="198" t="s">
        <v>66</v>
      </c>
      <c r="E84" s="198" t="s">
        <v>487</v>
      </c>
      <c r="F84" s="265">
        <f>'Scoth Eggs v2'!I53</f>
        <v>9.8500000000000014</v>
      </c>
      <c r="G84" s="202">
        <f>F$4</f>
        <v>0.15</v>
      </c>
      <c r="H84" s="212">
        <f>F84*(G84+1)</f>
        <v>11.327500000000001</v>
      </c>
      <c r="I84" s="202">
        <f>J$4</f>
        <v>0.3</v>
      </c>
      <c r="J84" s="267">
        <f>H84*(1+$J$4)</f>
        <v>14.725750000000001</v>
      </c>
      <c r="K84" s="212">
        <f>Table1[[#This Row],[Minimum Price]]*1.2</f>
        <v>17.6709</v>
      </c>
    </row>
    <row r="85" spans="2:11" ht="15.5" x14ac:dyDescent="0.35">
      <c r="B85" s="198" t="s">
        <v>601</v>
      </c>
      <c r="C85" s="198" t="s">
        <v>598</v>
      </c>
      <c r="D85" s="198" t="s">
        <v>66</v>
      </c>
      <c r="E85" s="198" t="s">
        <v>487</v>
      </c>
      <c r="F85" s="265">
        <f>'Scoth Eggs v2'!I62</f>
        <v>14.630000000000003</v>
      </c>
      <c r="G85" s="202">
        <f>F$4</f>
        <v>0.15</v>
      </c>
      <c r="H85" s="212">
        <f>F85*(G85+1)</f>
        <v>16.8245</v>
      </c>
      <c r="I85" s="202">
        <f>J$4</f>
        <v>0.3</v>
      </c>
      <c r="J85" s="267">
        <f>H85*(1+$J$4)</f>
        <v>21.871850000000002</v>
      </c>
      <c r="K85" s="212">
        <f>Table1[[#This Row],[Minimum Price]]*1.2</f>
        <v>26.246220000000001</v>
      </c>
    </row>
    <row r="86" spans="2:11" ht="13" x14ac:dyDescent="0.3">
      <c r="B86" s="13"/>
      <c r="C86" s="13"/>
      <c r="D86" s="13"/>
      <c r="E86" s="13"/>
      <c r="F86" s="115"/>
    </row>
    <row r="87" spans="2:11" ht="13" x14ac:dyDescent="0.3">
      <c r="B87" s="13"/>
      <c r="C87" s="13"/>
      <c r="D87" s="13"/>
      <c r="E87" s="13"/>
      <c r="F87" s="115"/>
    </row>
    <row r="88" spans="2:11" ht="13" x14ac:dyDescent="0.3">
      <c r="B88" s="13"/>
      <c r="C88" s="13"/>
      <c r="D88" s="13"/>
      <c r="E88" s="13"/>
      <c r="F88" s="115"/>
    </row>
    <row r="89" spans="2:11" ht="13" x14ac:dyDescent="0.3">
      <c r="B89" s="13"/>
      <c r="C89" s="13"/>
      <c r="D89" s="13"/>
      <c r="E89" s="13"/>
      <c r="F89" s="115"/>
    </row>
    <row r="90" spans="2:11" ht="13" x14ac:dyDescent="0.3">
      <c r="B90" s="13"/>
      <c r="C90" s="13"/>
      <c r="D90" s="13"/>
      <c r="E90" s="13"/>
      <c r="F90" s="115"/>
    </row>
    <row r="91" spans="2:11" ht="13" x14ac:dyDescent="0.3">
      <c r="B91" s="13"/>
      <c r="C91" s="13"/>
      <c r="D91" s="13"/>
      <c r="E91" s="13"/>
      <c r="F91" s="115"/>
    </row>
    <row r="92" spans="2:11" ht="13" x14ac:dyDescent="0.3">
      <c r="B92" s="13"/>
      <c r="C92" s="13"/>
      <c r="D92" s="13"/>
      <c r="E92" s="13"/>
      <c r="F92" s="115"/>
    </row>
    <row r="93" spans="2:11" ht="13" x14ac:dyDescent="0.3">
      <c r="B93" s="13"/>
      <c r="C93" s="13"/>
      <c r="D93" s="13"/>
      <c r="E93" s="13"/>
      <c r="F93" s="115"/>
    </row>
    <row r="94" spans="2:11" ht="13" x14ac:dyDescent="0.3">
      <c r="B94" s="13"/>
      <c r="C94" s="13"/>
      <c r="D94" s="13"/>
      <c r="E94" s="13"/>
      <c r="F94" s="115"/>
    </row>
    <row r="95" spans="2:11" ht="13" x14ac:dyDescent="0.3">
      <c r="B95" s="13"/>
      <c r="C95" s="13"/>
      <c r="D95" s="13"/>
      <c r="E95" s="13"/>
      <c r="F95" s="115"/>
    </row>
    <row r="96" spans="2:11" ht="13" x14ac:dyDescent="0.3">
      <c r="B96" s="13"/>
      <c r="C96" s="13"/>
      <c r="D96" s="13"/>
      <c r="E96" s="13"/>
      <c r="F96" s="115"/>
    </row>
    <row r="97" spans="2:6" ht="13" x14ac:dyDescent="0.3">
      <c r="B97" s="13"/>
      <c r="C97" s="13"/>
      <c r="D97" s="13"/>
      <c r="E97" s="13"/>
      <c r="F97" s="115"/>
    </row>
    <row r="98" spans="2:6" ht="13" x14ac:dyDescent="0.3">
      <c r="B98" s="13"/>
      <c r="C98" s="13"/>
      <c r="D98" s="13"/>
      <c r="E98" s="13"/>
      <c r="F98" s="115"/>
    </row>
    <row r="99" spans="2:6" ht="13" x14ac:dyDescent="0.3">
      <c r="B99" s="13"/>
      <c r="C99" s="13"/>
      <c r="D99" s="13"/>
      <c r="E99" s="13"/>
      <c r="F99" s="115"/>
    </row>
    <row r="100" spans="2:6" ht="13" x14ac:dyDescent="0.3">
      <c r="B100" s="13"/>
      <c r="C100" s="13"/>
      <c r="D100" s="13"/>
      <c r="E100" s="13"/>
      <c r="F100" s="115"/>
    </row>
    <row r="101" spans="2:6" ht="13" x14ac:dyDescent="0.3">
      <c r="B101" s="13"/>
      <c r="C101" s="13"/>
      <c r="D101" s="13"/>
      <c r="E101" s="13"/>
      <c r="F101" s="115"/>
    </row>
    <row r="102" spans="2:6" ht="13" x14ac:dyDescent="0.3">
      <c r="B102" s="13"/>
      <c r="C102" s="13"/>
      <c r="D102" s="13"/>
      <c r="E102" s="13"/>
      <c r="F102" s="115"/>
    </row>
    <row r="103" spans="2:6" ht="13" x14ac:dyDescent="0.3">
      <c r="B103" s="13"/>
      <c r="C103" s="13"/>
      <c r="D103" s="13"/>
      <c r="E103" s="13"/>
      <c r="F103" s="115"/>
    </row>
    <row r="104" spans="2:6" ht="13" x14ac:dyDescent="0.3">
      <c r="B104" s="13"/>
      <c r="C104" s="13"/>
      <c r="D104" s="13"/>
      <c r="E104" s="13"/>
      <c r="F104" s="115"/>
    </row>
    <row r="105" spans="2:6" ht="13" x14ac:dyDescent="0.3">
      <c r="B105" s="13"/>
      <c r="C105" s="13"/>
      <c r="D105" s="13"/>
      <c r="E105" s="13"/>
      <c r="F105" s="115"/>
    </row>
    <row r="106" spans="2:6" ht="13" x14ac:dyDescent="0.3">
      <c r="B106" s="13"/>
      <c r="C106" s="13"/>
      <c r="D106" s="13"/>
      <c r="E106" s="13"/>
      <c r="F106" s="115"/>
    </row>
    <row r="107" spans="2:6" ht="13" x14ac:dyDescent="0.3">
      <c r="B107" s="13"/>
      <c r="C107" s="13"/>
      <c r="D107" s="13"/>
      <c r="E107" s="13"/>
    </row>
    <row r="108" spans="2:6" ht="13" x14ac:dyDescent="0.3">
      <c r="B108" s="13"/>
      <c r="C108" s="13"/>
      <c r="D108" s="13"/>
      <c r="E108" s="13"/>
    </row>
    <row r="109" spans="2:6" ht="13" x14ac:dyDescent="0.3">
      <c r="B109" s="13"/>
      <c r="C109" s="13"/>
      <c r="D109" s="13"/>
      <c r="E109" s="13"/>
    </row>
    <row r="110" spans="2:6" ht="13" x14ac:dyDescent="0.3">
      <c r="B110" s="13"/>
      <c r="C110" s="13"/>
      <c r="D110" s="13"/>
      <c r="E110" s="13"/>
    </row>
    <row r="111" spans="2:6" ht="13" x14ac:dyDescent="0.3">
      <c r="B111" s="13"/>
      <c r="C111" s="13"/>
      <c r="D111" s="13"/>
      <c r="E111" s="13"/>
    </row>
    <row r="112" spans="2:6" ht="13" x14ac:dyDescent="0.3">
      <c r="B112" s="13"/>
      <c r="C112" s="13"/>
      <c r="D112" s="13"/>
      <c r="E112" s="13"/>
    </row>
    <row r="113" spans="2:5" ht="13" x14ac:dyDescent="0.3">
      <c r="B113" s="13"/>
      <c r="C113" s="13"/>
      <c r="D113" s="13"/>
      <c r="E113" s="13"/>
    </row>
    <row r="114" spans="2:5" ht="13" x14ac:dyDescent="0.3">
      <c r="B114" s="13"/>
      <c r="C114" s="13"/>
      <c r="D114" s="13"/>
      <c r="E114" s="13"/>
    </row>
    <row r="115" spans="2:5" ht="13" x14ac:dyDescent="0.3">
      <c r="B115" s="13"/>
      <c r="C115" s="13"/>
      <c r="D115" s="13"/>
      <c r="E115" s="13"/>
    </row>
    <row r="116" spans="2:5" ht="13" x14ac:dyDescent="0.3">
      <c r="B116" s="13"/>
      <c r="C116" s="13"/>
      <c r="D116" s="13"/>
      <c r="E116" s="13"/>
    </row>
    <row r="117" spans="2:5" ht="13" x14ac:dyDescent="0.3">
      <c r="B117" s="13"/>
      <c r="C117" s="13"/>
      <c r="D117" s="13"/>
      <c r="E117" s="13"/>
    </row>
    <row r="118" spans="2:5" ht="13" x14ac:dyDescent="0.3">
      <c r="B118" s="13"/>
      <c r="C118" s="13"/>
      <c r="D118" s="13"/>
      <c r="E118" s="13"/>
    </row>
    <row r="119" spans="2:5" ht="13" x14ac:dyDescent="0.3">
      <c r="B119" s="13"/>
      <c r="C119" s="13"/>
      <c r="D119" s="13"/>
      <c r="E119" s="13"/>
    </row>
    <row r="120" spans="2:5" ht="13" x14ac:dyDescent="0.3">
      <c r="B120" s="13"/>
      <c r="C120" s="13"/>
      <c r="D120" s="13"/>
      <c r="E120" s="13"/>
    </row>
    <row r="121" spans="2:5" ht="13" x14ac:dyDescent="0.3">
      <c r="B121" s="13"/>
      <c r="C121" s="13"/>
      <c r="D121" s="13"/>
      <c r="E121" s="13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E60A-D37D-4418-A61A-FF07A36A04D4}">
  <sheetPr>
    <tabColor rgb="FF92D050"/>
  </sheetPr>
  <dimension ref="A1:Q61"/>
  <sheetViews>
    <sheetView showGridLines="0" topLeftCell="A30" workbookViewId="0">
      <selection activeCell="D61" sqref="D61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609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  <c r="F19" s="8" t="s">
        <v>603</v>
      </c>
    </row>
    <row r="20" spans="1:17" ht="15.5" x14ac:dyDescent="0.35">
      <c r="A20" s="7" t="s">
        <v>594</v>
      </c>
      <c r="B20" s="196">
        <f>'Ingredient Cost'!D57</f>
        <v>61.36</v>
      </c>
      <c r="C20" s="197">
        <v>108</v>
      </c>
      <c r="D20" s="10">
        <f>B20/C20</f>
        <v>0.56814814814814818</v>
      </c>
      <c r="F20" t="s">
        <v>604</v>
      </c>
      <c r="G20">
        <f>6*0.454</f>
        <v>2.7240000000000002</v>
      </c>
    </row>
    <row r="21" spans="1:17" ht="15.5" x14ac:dyDescent="0.35">
      <c r="A21" s="7" t="s">
        <v>258</v>
      </c>
      <c r="B21" s="196">
        <f>'Ingredient Cost'!D78</f>
        <v>2.25</v>
      </c>
      <c r="C21" s="197">
        <v>0.2</v>
      </c>
      <c r="D21" s="10">
        <f>C21/B21</f>
        <v>8.8888888888888892E-2</v>
      </c>
      <c r="F21" t="s">
        <v>605</v>
      </c>
      <c r="G21">
        <f>G20*0.9</f>
        <v>2.4516000000000004</v>
      </c>
    </row>
    <row r="22" spans="1:17" ht="13" x14ac:dyDescent="0.3">
      <c r="D22" s="74">
        <f>SUM(D20:D21)</f>
        <v>0.65703703703703709</v>
      </c>
      <c r="F22" t="s">
        <v>606</v>
      </c>
      <c r="G22">
        <f>G21*0.9</f>
        <v>2.2064400000000006</v>
      </c>
    </row>
    <row r="23" spans="1:17" x14ac:dyDescent="0.25">
      <c r="F23" t="s">
        <v>607</v>
      </c>
      <c r="G23">
        <f>G22/0.12</f>
        <v>18.387000000000008</v>
      </c>
      <c r="H23" s="268">
        <v>18</v>
      </c>
      <c r="I23" t="s">
        <v>608</v>
      </c>
      <c r="J23" s="268">
        <f>H23*6</f>
        <v>108</v>
      </c>
      <c r="K23" t="s">
        <v>499</v>
      </c>
    </row>
    <row r="24" spans="1:17" ht="15.5" x14ac:dyDescent="0.35">
      <c r="A24" s="7"/>
      <c r="B24" s="13"/>
      <c r="C24" s="15"/>
      <c r="D24" s="74"/>
      <c r="E24" s="13"/>
      <c r="F24" s="7"/>
      <c r="G24" s="13"/>
      <c r="H24" s="15"/>
      <c r="I24" s="74"/>
      <c r="J24" s="13"/>
      <c r="K24" s="7"/>
      <c r="L24" s="13"/>
      <c r="M24" s="15"/>
      <c r="N24" s="74"/>
    </row>
    <row r="25" spans="1:17" ht="15.5" x14ac:dyDescent="0.35">
      <c r="A25" s="164" t="s">
        <v>460</v>
      </c>
      <c r="B25" s="166"/>
      <c r="C25" s="167"/>
      <c r="D25" s="188"/>
      <c r="E25" s="166"/>
      <c r="F25" s="164"/>
      <c r="G25" s="166"/>
      <c r="H25" s="167"/>
      <c r="I25" s="188"/>
      <c r="J25" s="166"/>
      <c r="K25" s="164"/>
      <c r="L25" s="166"/>
      <c r="M25" s="167"/>
      <c r="N25" s="188"/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59" t="s">
        <v>41</v>
      </c>
      <c r="B27" s="160"/>
      <c r="C27" s="161"/>
      <c r="D27" s="162"/>
    </row>
    <row r="28" spans="1:17" ht="15.5" x14ac:dyDescent="0.35">
      <c r="A28" s="6"/>
      <c r="B28" s="7" t="s">
        <v>1</v>
      </c>
      <c r="C28" s="8" t="s">
        <v>2</v>
      </c>
      <c r="D28" s="8" t="s">
        <v>4</v>
      </c>
      <c r="E28" s="264"/>
    </row>
    <row r="29" spans="1:17" ht="15.5" x14ac:dyDescent="0.35">
      <c r="A29" s="171" t="s">
        <v>449</v>
      </c>
      <c r="B29" s="170">
        <v>1</v>
      </c>
      <c r="C29" s="10">
        <f>D22</f>
        <v>0.65703703703703709</v>
      </c>
      <c r="D29" s="157">
        <f>B29*C29</f>
        <v>0.65703703703703709</v>
      </c>
      <c r="E29" s="158"/>
    </row>
    <row r="30" spans="1:17" ht="15.5" x14ac:dyDescent="0.35">
      <c r="A30" s="7" t="s">
        <v>139</v>
      </c>
      <c r="B30" s="28">
        <v>1</v>
      </c>
      <c r="C30" s="157">
        <f>'Ingredient Cost'!D88</f>
        <v>0.09</v>
      </c>
      <c r="D30" s="10">
        <f>C30*B30</f>
        <v>0.09</v>
      </c>
    </row>
    <row r="31" spans="1:17" ht="15.5" x14ac:dyDescent="0.35">
      <c r="A31" s="6" t="s">
        <v>0</v>
      </c>
      <c r="B31" s="13"/>
      <c r="C31" s="15"/>
      <c r="D31" s="74">
        <f>SUM(D29:D30)</f>
        <v>0.74703703703703705</v>
      </c>
      <c r="E31" s="264"/>
    </row>
    <row r="32" spans="1:17" ht="15.5" x14ac:dyDescent="0.35">
      <c r="A32" s="7"/>
      <c r="B32" s="13"/>
      <c r="C32" s="15"/>
      <c r="D32" s="74"/>
      <c r="E32" s="13"/>
      <c r="F32" s="7"/>
      <c r="G32" s="13"/>
      <c r="H32" s="15"/>
      <c r="I32" s="74"/>
      <c r="J32" s="13"/>
      <c r="K32" s="7"/>
      <c r="L32" s="13"/>
      <c r="M32" s="15"/>
      <c r="N32" s="74"/>
    </row>
    <row r="34" spans="1:17" ht="15.5" x14ac:dyDescent="0.35">
      <c r="A34" s="164" t="s">
        <v>461</v>
      </c>
      <c r="B34" s="165"/>
      <c r="C34" s="167"/>
      <c r="D34" s="189" t="s">
        <v>462</v>
      </c>
      <c r="E34" s="164" t="s">
        <v>456</v>
      </c>
      <c r="F34" s="164"/>
      <c r="G34" s="166"/>
      <c r="H34" s="167"/>
      <c r="I34" s="168"/>
      <c r="J34" s="166"/>
      <c r="K34" s="169"/>
      <c r="L34" s="169"/>
      <c r="M34" s="166"/>
      <c r="N34" s="166"/>
      <c r="O34" s="13"/>
      <c r="P34" s="13"/>
      <c r="Q34" s="13"/>
    </row>
    <row r="35" spans="1:17" ht="15.5" x14ac:dyDescent="0.35">
      <c r="A35" s="7"/>
      <c r="B35" s="13"/>
      <c r="C35" s="15"/>
      <c r="D35" s="20"/>
      <c r="E35" s="13"/>
      <c r="F35" s="22"/>
      <c r="G35" s="22"/>
      <c r="H35" s="22"/>
      <c r="I35" s="22"/>
      <c r="J35" s="22"/>
      <c r="K35" s="22"/>
      <c r="L35" s="22"/>
      <c r="M35" s="13"/>
      <c r="N35" s="13"/>
      <c r="O35" s="13"/>
      <c r="P35" s="13"/>
      <c r="Q35" s="13"/>
    </row>
    <row r="36" spans="1:17" ht="15.5" x14ac:dyDescent="0.35">
      <c r="A36" s="159" t="s">
        <v>41</v>
      </c>
      <c r="B36" s="160"/>
      <c r="C36" s="161"/>
      <c r="D36" s="162"/>
    </row>
    <row r="37" spans="1:17" ht="15.5" x14ac:dyDescent="0.35">
      <c r="A37" s="6"/>
      <c r="B37" s="7" t="s">
        <v>1</v>
      </c>
      <c r="C37" s="8" t="s">
        <v>2</v>
      </c>
      <c r="D37" s="8" t="s">
        <v>4</v>
      </c>
      <c r="E37" s="264"/>
    </row>
    <row r="38" spans="1:17" ht="15.5" x14ac:dyDescent="0.35">
      <c r="A38" s="171" t="s">
        <v>463</v>
      </c>
      <c r="B38" s="170">
        <v>1</v>
      </c>
      <c r="C38" s="10">
        <f>D31</f>
        <v>0.74703703703703705</v>
      </c>
      <c r="D38" s="157">
        <f>B38*C38</f>
        <v>0.74703703703703705</v>
      </c>
      <c r="E38" s="158"/>
    </row>
    <row r="39" spans="1:17" ht="15.5" x14ac:dyDescent="0.35">
      <c r="A39" s="7" t="s">
        <v>180</v>
      </c>
      <c r="B39" s="28">
        <v>55</v>
      </c>
      <c r="C39" s="10">
        <f>'Ingredient Cost'!$B$113</f>
        <v>20</v>
      </c>
      <c r="D39" s="10">
        <f>C39/B39</f>
        <v>0.36363636363636365</v>
      </c>
      <c r="E39" s="13"/>
    </row>
    <row r="40" spans="1:17" ht="15.5" x14ac:dyDescent="0.35">
      <c r="A40" s="6" t="s">
        <v>0</v>
      </c>
      <c r="B40" s="13"/>
      <c r="C40" s="15"/>
      <c r="D40" s="74">
        <f>SUM(D38:D39)</f>
        <v>1.1106734006734007</v>
      </c>
      <c r="E40" s="264"/>
    </row>
    <row r="41" spans="1:17" ht="15.5" x14ac:dyDescent="0.35">
      <c r="A41" s="7"/>
      <c r="B41" s="13"/>
      <c r="C41" s="15"/>
      <c r="D41" s="74"/>
      <c r="E41" s="13"/>
      <c r="F41" s="7"/>
      <c r="G41" s="13"/>
      <c r="H41" s="15"/>
      <c r="I41" s="74"/>
      <c r="J41" s="13"/>
      <c r="K41" s="7"/>
      <c r="L41" s="13"/>
      <c r="M41" s="15"/>
      <c r="N41" s="74"/>
    </row>
    <row r="42" spans="1:17" ht="15.5" x14ac:dyDescent="0.35">
      <c r="A42" s="7"/>
      <c r="B42" s="74" t="s">
        <v>467</v>
      </c>
      <c r="C42" s="163"/>
      <c r="D42" s="191">
        <f>D39/D38</f>
        <v>0.48677153287961417</v>
      </c>
      <c r="E42" s="13"/>
      <c r="F42" s="7"/>
    </row>
    <row r="43" spans="1:17" ht="15.5" x14ac:dyDescent="0.35">
      <c r="A43" s="164" t="s">
        <v>448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5" spans="1:17" ht="15.5" x14ac:dyDescent="0.35">
      <c r="A45" s="190" t="s">
        <v>595</v>
      </c>
      <c r="B45" s="159"/>
      <c r="C45" s="161"/>
      <c r="D45" s="162"/>
      <c r="J45" s="7"/>
      <c r="K45" s="7"/>
      <c r="L45" s="47"/>
      <c r="M45" s="48"/>
      <c r="N45" s="49"/>
    </row>
    <row r="46" spans="1:17" ht="15.5" x14ac:dyDescent="0.35">
      <c r="A46" s="7"/>
      <c r="B46" s="7" t="s">
        <v>1</v>
      </c>
      <c r="C46" s="8" t="s">
        <v>2</v>
      </c>
      <c r="D46" s="8" t="s">
        <v>4</v>
      </c>
      <c r="E46" s="13"/>
      <c r="J46" s="13"/>
      <c r="K46" s="7"/>
      <c r="L46" s="7"/>
      <c r="M46" s="8"/>
      <c r="N46" s="8"/>
    </row>
    <row r="47" spans="1:17" ht="15.5" x14ac:dyDescent="0.35">
      <c r="A47" s="7" t="s">
        <v>454</v>
      </c>
      <c r="B47" s="28">
        <v>6</v>
      </c>
      <c r="C47" s="10">
        <f>D40</f>
        <v>1.1106734006734007</v>
      </c>
      <c r="D47" s="11">
        <f>B47*C47</f>
        <v>6.6640404040404047</v>
      </c>
      <c r="E47" s="13"/>
      <c r="J47" s="13"/>
      <c r="K47" s="7"/>
      <c r="L47" s="13"/>
      <c r="M47" s="15"/>
      <c r="N47" s="74"/>
    </row>
    <row r="48" spans="1:17" ht="15.5" x14ac:dyDescent="0.35">
      <c r="A48" s="7" t="s">
        <v>464</v>
      </c>
      <c r="B48" s="28">
        <v>1</v>
      </c>
      <c r="C48" s="10">
        <f>'Ingredient Cost'!$D$108</f>
        <v>0.2</v>
      </c>
      <c r="D48" s="10">
        <f>B48*C48</f>
        <v>0.2</v>
      </c>
      <c r="E48" s="13"/>
      <c r="J48" s="13"/>
      <c r="K48" s="7"/>
      <c r="L48" s="13"/>
      <c r="M48" s="15"/>
      <c r="N48" s="15"/>
    </row>
    <row r="49" spans="1:14" ht="15.5" x14ac:dyDescent="0.35">
      <c r="A49" s="7" t="s">
        <v>180</v>
      </c>
      <c r="B49" s="28">
        <v>250</v>
      </c>
      <c r="C49" s="10">
        <f>$C$39</f>
        <v>20</v>
      </c>
      <c r="D49" s="10">
        <f>C49/B49</f>
        <v>0.08</v>
      </c>
      <c r="E49" s="13"/>
      <c r="J49" s="13"/>
      <c r="K49" s="7"/>
      <c r="L49" s="13"/>
      <c r="M49" s="15"/>
      <c r="N49" s="15"/>
    </row>
    <row r="50" spans="1:14" ht="15.5" x14ac:dyDescent="0.35">
      <c r="A50" s="7" t="s">
        <v>184</v>
      </c>
      <c r="B50" s="28">
        <v>1</v>
      </c>
      <c r="C50" s="10">
        <v>0.01</v>
      </c>
      <c r="D50" s="10">
        <f>B50*C50</f>
        <v>0.01</v>
      </c>
      <c r="E50" s="13"/>
      <c r="J50" s="13"/>
      <c r="K50" s="7"/>
      <c r="L50" s="13"/>
      <c r="M50" s="15"/>
      <c r="N50" s="15"/>
    </row>
    <row r="51" spans="1:14" ht="15.5" x14ac:dyDescent="0.35">
      <c r="A51" s="7" t="s">
        <v>0</v>
      </c>
      <c r="B51" s="13"/>
      <c r="C51" s="15"/>
      <c r="D51" s="74">
        <f>SUM(D47:D50)</f>
        <v>6.9540404040404047</v>
      </c>
      <c r="E51" s="13"/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D51/6</f>
        <v>1.159006734006734</v>
      </c>
    </row>
    <row r="53" spans="1:14" ht="15.5" x14ac:dyDescent="0.35">
      <c r="A53" s="7"/>
      <c r="D53" s="74"/>
    </row>
    <row r="54" spans="1:14" ht="15.5" x14ac:dyDescent="0.35">
      <c r="A54" s="190" t="s">
        <v>610</v>
      </c>
      <c r="B54" s="159"/>
      <c r="C54" s="161"/>
      <c r="D54" s="162"/>
    </row>
    <row r="55" spans="1:14" ht="15.5" x14ac:dyDescent="0.35">
      <c r="A55" s="7"/>
      <c r="B55" s="7" t="s">
        <v>1</v>
      </c>
      <c r="C55" s="8" t="s">
        <v>2</v>
      </c>
      <c r="D55" s="8" t="s">
        <v>4</v>
      </c>
    </row>
    <row r="56" spans="1:14" ht="15.5" x14ac:dyDescent="0.35">
      <c r="A56" s="7" t="s">
        <v>454</v>
      </c>
      <c r="B56" s="28">
        <v>12</v>
      </c>
      <c r="C56" s="10">
        <f>D40</f>
        <v>1.1106734006734007</v>
      </c>
      <c r="D56" s="11">
        <f>B56*C56</f>
        <v>13.328080808080809</v>
      </c>
    </row>
    <row r="57" spans="1:14" ht="15.5" x14ac:dyDescent="0.35">
      <c r="A57" s="7" t="s">
        <v>464</v>
      </c>
      <c r="B57" s="28">
        <v>1</v>
      </c>
      <c r="C57" s="10">
        <f>'Ingredient Cost'!$D$108</f>
        <v>0.2</v>
      </c>
      <c r="D57" s="10">
        <f>B57*C57</f>
        <v>0.2</v>
      </c>
    </row>
    <row r="58" spans="1:14" ht="15.5" x14ac:dyDescent="0.35">
      <c r="A58" s="7" t="s">
        <v>180</v>
      </c>
      <c r="B58" s="28">
        <v>250</v>
      </c>
      <c r="C58" s="10">
        <f>$C$39</f>
        <v>20</v>
      </c>
      <c r="D58" s="10">
        <f>C58/B58</f>
        <v>0.08</v>
      </c>
    </row>
    <row r="59" spans="1:14" ht="15.5" x14ac:dyDescent="0.35">
      <c r="A59" s="7" t="s">
        <v>184</v>
      </c>
      <c r="B59" s="28">
        <v>1</v>
      </c>
      <c r="C59" s="10">
        <v>0.01</v>
      </c>
      <c r="D59" s="10">
        <f>B59*C59</f>
        <v>0.01</v>
      </c>
    </row>
    <row r="60" spans="1:14" ht="15.5" x14ac:dyDescent="0.35">
      <c r="A60" s="7" t="s">
        <v>0</v>
      </c>
      <c r="B60" s="13"/>
      <c r="C60" s="15"/>
      <c r="D60" s="74">
        <f>SUM(D56:D59)</f>
        <v>13.618080808080808</v>
      </c>
    </row>
    <row r="61" spans="1:14" ht="15.5" x14ac:dyDescent="0.35">
      <c r="A61" s="7" t="s">
        <v>182</v>
      </c>
      <c r="D61" s="74">
        <f>D60/12</f>
        <v>1.1348400673400674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256C-90C1-4133-9B55-CF5AFDEEF054}">
  <sheetPr>
    <tabColor rgb="FF92D050"/>
  </sheetPr>
  <dimension ref="A1:Q61"/>
  <sheetViews>
    <sheetView showGridLines="0" topLeftCell="A33" workbookViewId="0">
      <selection activeCell="F64" sqref="F64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602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  <c r="F19" s="8" t="s">
        <v>603</v>
      </c>
    </row>
    <row r="20" spans="1:17" ht="15.5" x14ac:dyDescent="0.35">
      <c r="A20" s="7" t="s">
        <v>594</v>
      </c>
      <c r="B20" s="196">
        <f>'Ingredient Cost'!D57</f>
        <v>61.36</v>
      </c>
      <c r="C20" s="197">
        <v>78</v>
      </c>
      <c r="D20" s="10">
        <f>B20/C20</f>
        <v>0.78666666666666663</v>
      </c>
      <c r="F20" t="s">
        <v>604</v>
      </c>
      <c r="G20">
        <f>6*0.454</f>
        <v>2.7240000000000002</v>
      </c>
    </row>
    <row r="21" spans="1:17" ht="15.5" x14ac:dyDescent="0.35">
      <c r="A21" s="7" t="s">
        <v>258</v>
      </c>
      <c r="B21" s="196">
        <f>'Ingredient Cost'!D78</f>
        <v>2.25</v>
      </c>
      <c r="C21" s="197">
        <v>0.2</v>
      </c>
      <c r="D21" s="10">
        <f>C21/B21</f>
        <v>8.8888888888888892E-2</v>
      </c>
      <c r="F21" t="s">
        <v>605</v>
      </c>
      <c r="G21">
        <f>G20*0.9</f>
        <v>2.4516000000000004</v>
      </c>
    </row>
    <row r="22" spans="1:17" ht="13" x14ac:dyDescent="0.3">
      <c r="D22" s="74">
        <f>SUM(D20:D21)</f>
        <v>0.87555555555555553</v>
      </c>
      <c r="F22" t="s">
        <v>606</v>
      </c>
      <c r="G22">
        <f>G21*0.9</f>
        <v>2.2064400000000006</v>
      </c>
    </row>
    <row r="23" spans="1:17" x14ac:dyDescent="0.25">
      <c r="F23" t="s">
        <v>607</v>
      </c>
      <c r="G23">
        <f>G22/0.165</f>
        <v>13.372363636363639</v>
      </c>
      <c r="H23" s="268">
        <v>13</v>
      </c>
      <c r="I23" t="s">
        <v>608</v>
      </c>
      <c r="J23" s="268">
        <f>13*6</f>
        <v>78</v>
      </c>
      <c r="K23" t="s">
        <v>499</v>
      </c>
    </row>
    <row r="24" spans="1:17" ht="15.5" x14ac:dyDescent="0.35">
      <c r="A24" s="7"/>
      <c r="B24" s="13"/>
      <c r="C24" s="15"/>
      <c r="D24" s="74"/>
      <c r="E24" s="13"/>
      <c r="F24" s="7"/>
      <c r="G24" s="13"/>
      <c r="H24" s="15"/>
      <c r="I24" s="74"/>
      <c r="J24" s="13"/>
      <c r="K24" s="7"/>
      <c r="L24" s="13"/>
      <c r="M24" s="15"/>
      <c r="N24" s="74"/>
    </row>
    <row r="25" spans="1:17" ht="15.5" x14ac:dyDescent="0.35">
      <c r="A25" s="164" t="s">
        <v>460</v>
      </c>
      <c r="B25" s="166"/>
      <c r="C25" s="167"/>
      <c r="D25" s="188"/>
      <c r="E25" s="166"/>
      <c r="F25" s="164"/>
      <c r="G25" s="166"/>
      <c r="H25" s="167"/>
      <c r="I25" s="188"/>
      <c r="J25" s="166"/>
      <c r="K25" s="164"/>
      <c r="L25" s="166"/>
      <c r="M25" s="167"/>
      <c r="N25" s="188"/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59" t="s">
        <v>41</v>
      </c>
      <c r="B27" s="160"/>
      <c r="C27" s="161"/>
      <c r="D27" s="162"/>
    </row>
    <row r="28" spans="1:17" ht="15.5" x14ac:dyDescent="0.35">
      <c r="A28" s="6"/>
      <c r="B28" s="7" t="s">
        <v>1</v>
      </c>
      <c r="C28" s="8" t="s">
        <v>2</v>
      </c>
      <c r="D28" s="8" t="s">
        <v>4</v>
      </c>
      <c r="E28" s="264"/>
    </row>
    <row r="29" spans="1:17" ht="15.5" x14ac:dyDescent="0.35">
      <c r="A29" s="171" t="s">
        <v>449</v>
      </c>
      <c r="B29" s="170">
        <v>1</v>
      </c>
      <c r="C29" s="10">
        <f>D22</f>
        <v>0.87555555555555553</v>
      </c>
      <c r="D29" s="157">
        <f>B29*C29</f>
        <v>0.87555555555555553</v>
      </c>
      <c r="E29" s="158"/>
    </row>
    <row r="30" spans="1:17" ht="15.5" x14ac:dyDescent="0.35">
      <c r="A30" s="7" t="s">
        <v>139</v>
      </c>
      <c r="B30" s="28">
        <v>1</v>
      </c>
      <c r="C30" s="157">
        <f>'Ingredient Cost'!D88</f>
        <v>0.09</v>
      </c>
      <c r="D30" s="10">
        <f>C30*B30</f>
        <v>0.09</v>
      </c>
    </row>
    <row r="31" spans="1:17" ht="15.5" x14ac:dyDescent="0.35">
      <c r="A31" s="6" t="s">
        <v>0</v>
      </c>
      <c r="B31" s="13"/>
      <c r="C31" s="15"/>
      <c r="D31" s="74">
        <f>SUM(D29:D30)</f>
        <v>0.9655555555555555</v>
      </c>
      <c r="E31" s="264"/>
    </row>
    <row r="32" spans="1:17" ht="15.5" x14ac:dyDescent="0.35">
      <c r="A32" s="7"/>
      <c r="B32" s="13"/>
      <c r="C32" s="15"/>
      <c r="D32" s="74"/>
      <c r="E32" s="13"/>
      <c r="F32" s="7"/>
      <c r="G32" s="13"/>
      <c r="H32" s="15"/>
      <c r="I32" s="74"/>
      <c r="J32" s="13"/>
      <c r="K32" s="7"/>
      <c r="L32" s="13"/>
      <c r="M32" s="15"/>
      <c r="N32" s="74"/>
    </row>
    <row r="34" spans="1:17" ht="15.5" x14ac:dyDescent="0.35">
      <c r="A34" s="164" t="s">
        <v>461</v>
      </c>
      <c r="B34" s="165"/>
      <c r="C34" s="167"/>
      <c r="D34" s="189" t="s">
        <v>462</v>
      </c>
      <c r="E34" s="164" t="s">
        <v>456</v>
      </c>
      <c r="F34" s="164"/>
      <c r="G34" s="166"/>
      <c r="H34" s="167"/>
      <c r="I34" s="168"/>
      <c r="J34" s="166"/>
      <c r="K34" s="169"/>
      <c r="L34" s="169"/>
      <c r="M34" s="166"/>
      <c r="N34" s="166"/>
      <c r="O34" s="13"/>
      <c r="P34" s="13"/>
      <c r="Q34" s="13"/>
    </row>
    <row r="35" spans="1:17" ht="15.5" x14ac:dyDescent="0.35">
      <c r="A35" s="7"/>
      <c r="B35" s="13"/>
      <c r="C35" s="15"/>
      <c r="D35" s="20"/>
      <c r="E35" s="13"/>
      <c r="F35" s="22"/>
      <c r="G35" s="22"/>
      <c r="H35" s="22"/>
      <c r="I35" s="22"/>
      <c r="J35" s="22"/>
      <c r="K35" s="22"/>
      <c r="L35" s="22"/>
      <c r="M35" s="13"/>
      <c r="N35" s="13"/>
      <c r="O35" s="13"/>
      <c r="P35" s="13"/>
      <c r="Q35" s="13"/>
    </row>
    <row r="36" spans="1:17" ht="15.5" x14ac:dyDescent="0.35">
      <c r="A36" s="159" t="s">
        <v>41</v>
      </c>
      <c r="B36" s="160"/>
      <c r="C36" s="161"/>
      <c r="D36" s="162"/>
    </row>
    <row r="37" spans="1:17" ht="15.5" x14ac:dyDescent="0.35">
      <c r="A37" s="6"/>
      <c r="B37" s="7" t="s">
        <v>1</v>
      </c>
      <c r="C37" s="8" t="s">
        <v>2</v>
      </c>
      <c r="D37" s="8" t="s">
        <v>4</v>
      </c>
      <c r="E37" s="264"/>
    </row>
    <row r="38" spans="1:17" ht="15.5" x14ac:dyDescent="0.35">
      <c r="A38" s="171" t="s">
        <v>463</v>
      </c>
      <c r="B38" s="170">
        <v>1</v>
      </c>
      <c r="C38" s="10">
        <f>D31</f>
        <v>0.9655555555555555</v>
      </c>
      <c r="D38" s="157">
        <f>B38*C38</f>
        <v>0.9655555555555555</v>
      </c>
      <c r="E38" s="158"/>
    </row>
    <row r="39" spans="1:17" ht="15.5" x14ac:dyDescent="0.35">
      <c r="A39" s="7" t="s">
        <v>180</v>
      </c>
      <c r="B39" s="28">
        <v>55</v>
      </c>
      <c r="C39" s="10">
        <f>'Ingredient Cost'!$B$113</f>
        <v>20</v>
      </c>
      <c r="D39" s="10">
        <f>C39/B39</f>
        <v>0.36363636363636365</v>
      </c>
      <c r="E39" s="13"/>
    </row>
    <row r="40" spans="1:17" ht="15.5" x14ac:dyDescent="0.35">
      <c r="A40" s="6" t="s">
        <v>0</v>
      </c>
      <c r="B40" s="13"/>
      <c r="C40" s="15"/>
      <c r="D40" s="74">
        <f>SUM(D38:D39)</f>
        <v>1.3291919191919193</v>
      </c>
      <c r="E40" s="264"/>
    </row>
    <row r="41" spans="1:17" ht="15.5" x14ac:dyDescent="0.35">
      <c r="A41" s="7"/>
      <c r="B41" s="13"/>
      <c r="C41" s="15"/>
      <c r="D41" s="74"/>
      <c r="E41" s="13"/>
      <c r="F41" s="7"/>
      <c r="G41" s="13"/>
      <c r="H41" s="15"/>
      <c r="I41" s="74"/>
      <c r="J41" s="13"/>
      <c r="K41" s="7"/>
      <c r="L41" s="13"/>
      <c r="M41" s="15"/>
      <c r="N41" s="74"/>
    </row>
    <row r="42" spans="1:17" ht="15.5" x14ac:dyDescent="0.35">
      <c r="A42" s="7"/>
      <c r="B42" s="74" t="s">
        <v>467</v>
      </c>
      <c r="C42" s="163"/>
      <c r="D42" s="191">
        <f>D39/D38</f>
        <v>0.37660843184433523</v>
      </c>
      <c r="E42" s="13"/>
      <c r="F42" s="7"/>
    </row>
    <row r="43" spans="1:17" ht="15.5" x14ac:dyDescent="0.35">
      <c r="A43" s="164" t="s">
        <v>448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5" spans="1:17" ht="15.5" x14ac:dyDescent="0.35">
      <c r="A45" s="190" t="s">
        <v>595</v>
      </c>
      <c r="B45" s="159"/>
      <c r="C45" s="161"/>
      <c r="D45" s="162"/>
      <c r="J45" s="7"/>
      <c r="K45" s="7"/>
      <c r="L45" s="47"/>
      <c r="M45" s="48"/>
      <c r="N45" s="49"/>
    </row>
    <row r="46" spans="1:17" ht="15.5" x14ac:dyDescent="0.35">
      <c r="A46" s="7"/>
      <c r="B46" s="7" t="s">
        <v>1</v>
      </c>
      <c r="C46" s="8" t="s">
        <v>2</v>
      </c>
      <c r="D46" s="8" t="s">
        <v>4</v>
      </c>
      <c r="E46" s="13"/>
      <c r="J46" s="13"/>
      <c r="K46" s="7"/>
      <c r="L46" s="7"/>
      <c r="M46" s="8"/>
      <c r="N46" s="8"/>
    </row>
    <row r="47" spans="1:17" ht="15.5" x14ac:dyDescent="0.35">
      <c r="A47" s="7" t="s">
        <v>454</v>
      </c>
      <c r="B47" s="28">
        <v>6</v>
      </c>
      <c r="C47" s="10">
        <f>D40</f>
        <v>1.3291919191919193</v>
      </c>
      <c r="D47" s="11">
        <f>B47*C47</f>
        <v>7.9751515151515155</v>
      </c>
      <c r="E47" s="13"/>
      <c r="J47" s="13"/>
      <c r="K47" s="7"/>
      <c r="L47" s="13"/>
      <c r="M47" s="15"/>
      <c r="N47" s="74"/>
    </row>
    <row r="48" spans="1:17" ht="15.5" x14ac:dyDescent="0.35">
      <c r="A48" s="7" t="s">
        <v>464</v>
      </c>
      <c r="B48" s="28">
        <v>1</v>
      </c>
      <c r="C48" s="10">
        <f>'Ingredient Cost'!$D$108</f>
        <v>0.2</v>
      </c>
      <c r="D48" s="10">
        <f>B48*C48</f>
        <v>0.2</v>
      </c>
      <c r="E48" s="13"/>
      <c r="J48" s="13"/>
      <c r="K48" s="7"/>
      <c r="L48" s="13"/>
      <c r="M48" s="15"/>
      <c r="N48" s="15"/>
    </row>
    <row r="49" spans="1:14" ht="15.5" x14ac:dyDescent="0.35">
      <c r="A49" s="7" t="s">
        <v>180</v>
      </c>
      <c r="B49" s="28">
        <v>250</v>
      </c>
      <c r="C49" s="10">
        <f>$C$39</f>
        <v>20</v>
      </c>
      <c r="D49" s="10">
        <f>C49/B49</f>
        <v>0.08</v>
      </c>
      <c r="E49" s="13"/>
      <c r="J49" s="13"/>
      <c r="K49" s="7"/>
      <c r="L49" s="13"/>
      <c r="M49" s="15"/>
      <c r="N49" s="15"/>
    </row>
    <row r="50" spans="1:14" ht="15.5" x14ac:dyDescent="0.35">
      <c r="A50" s="7" t="s">
        <v>184</v>
      </c>
      <c r="B50" s="28">
        <v>1</v>
      </c>
      <c r="C50" s="10">
        <v>0.01</v>
      </c>
      <c r="D50" s="10">
        <f>B50*C50</f>
        <v>0.01</v>
      </c>
      <c r="E50" s="13"/>
      <c r="J50" s="13"/>
      <c r="K50" s="7"/>
      <c r="L50" s="13"/>
      <c r="M50" s="15"/>
      <c r="N50" s="15"/>
    </row>
    <row r="51" spans="1:14" ht="15.5" x14ac:dyDescent="0.35">
      <c r="A51" s="7" t="s">
        <v>0</v>
      </c>
      <c r="B51" s="13"/>
      <c r="C51" s="15"/>
      <c r="D51" s="74">
        <f>SUM(D47:D50)</f>
        <v>8.2651515151515156</v>
      </c>
      <c r="E51" s="13"/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D51/6</f>
        <v>1.3775252525252526</v>
      </c>
    </row>
    <row r="53" spans="1:14" ht="15.5" x14ac:dyDescent="0.35">
      <c r="A53" s="7"/>
      <c r="D53" s="74"/>
    </row>
    <row r="54" spans="1:14" ht="15.5" x14ac:dyDescent="0.35">
      <c r="A54" s="190" t="s">
        <v>610</v>
      </c>
      <c r="B54" s="159"/>
      <c r="C54" s="161"/>
      <c r="D54" s="162"/>
    </row>
    <row r="55" spans="1:14" ht="15.5" x14ac:dyDescent="0.35">
      <c r="A55" s="7"/>
      <c r="B55" s="7" t="s">
        <v>1</v>
      </c>
      <c r="C55" s="8" t="s">
        <v>2</v>
      </c>
      <c r="D55" s="8" t="s">
        <v>4</v>
      </c>
    </row>
    <row r="56" spans="1:14" ht="15.5" x14ac:dyDescent="0.35">
      <c r="A56" s="7" t="s">
        <v>454</v>
      </c>
      <c r="B56" s="28">
        <v>12</v>
      </c>
      <c r="C56" s="10">
        <f>D40</f>
        <v>1.3291919191919193</v>
      </c>
      <c r="D56" s="11">
        <f>B56*C56</f>
        <v>15.950303030303031</v>
      </c>
    </row>
    <row r="57" spans="1:14" ht="15.5" x14ac:dyDescent="0.35">
      <c r="A57" s="7" t="s">
        <v>464</v>
      </c>
      <c r="B57" s="28">
        <v>1</v>
      </c>
      <c r="C57" s="10">
        <f>'Ingredient Cost'!$D$108</f>
        <v>0.2</v>
      </c>
      <c r="D57" s="10">
        <f>B57*C57</f>
        <v>0.2</v>
      </c>
    </row>
    <row r="58" spans="1:14" ht="15.5" x14ac:dyDescent="0.35">
      <c r="A58" s="7" t="s">
        <v>180</v>
      </c>
      <c r="B58" s="28">
        <v>250</v>
      </c>
      <c r="C58" s="10">
        <f>$C$39</f>
        <v>20</v>
      </c>
      <c r="D58" s="10">
        <f>C58/B58</f>
        <v>0.08</v>
      </c>
    </row>
    <row r="59" spans="1:14" ht="15.5" x14ac:dyDescent="0.35">
      <c r="A59" s="7" t="s">
        <v>184</v>
      </c>
      <c r="B59" s="28">
        <v>1</v>
      </c>
      <c r="C59" s="10">
        <v>0.01</v>
      </c>
      <c r="D59" s="10">
        <f>B59*C59</f>
        <v>0.01</v>
      </c>
    </row>
    <row r="60" spans="1:14" ht="15.5" x14ac:dyDescent="0.35">
      <c r="A60" s="7" t="s">
        <v>0</v>
      </c>
      <c r="B60" s="13"/>
      <c r="C60" s="15"/>
      <c r="D60" s="74">
        <f>SUM(D56:D59)</f>
        <v>16.240303030303032</v>
      </c>
    </row>
    <row r="61" spans="1:14" ht="15.5" x14ac:dyDescent="0.35">
      <c r="A61" s="7" t="s">
        <v>182</v>
      </c>
      <c r="D61" s="74">
        <f>D60/12</f>
        <v>1.3533585858585859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9E9E-A8E9-429E-8D4B-8BE50ADD4471}">
  <sheetPr>
    <tabColor rgb="FF92D050"/>
  </sheetPr>
  <dimension ref="A1:Q53"/>
  <sheetViews>
    <sheetView showGridLines="0" workbookViewId="0">
      <selection activeCell="C21" sqref="C21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596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</row>
    <row r="20" spans="1:17" ht="15.5" x14ac:dyDescent="0.35">
      <c r="A20" s="7" t="s">
        <v>594</v>
      </c>
      <c r="B20" s="196">
        <f>'Ingredient Cost'!D57</f>
        <v>61.36</v>
      </c>
      <c r="C20" s="197">
        <v>36</v>
      </c>
      <c r="D20" s="10">
        <f>B20/C20</f>
        <v>1.7044444444444444</v>
      </c>
    </row>
    <row r="21" spans="1:17" ht="15.5" x14ac:dyDescent="0.35">
      <c r="A21" s="7" t="s">
        <v>258</v>
      </c>
      <c r="B21" s="196">
        <f>'Ingredient Cost'!D78</f>
        <v>2.25</v>
      </c>
      <c r="C21" s="197">
        <v>0.03</v>
      </c>
      <c r="D21" s="10">
        <f>C21/B21</f>
        <v>1.3333333333333332E-2</v>
      </c>
    </row>
    <row r="22" spans="1:17" ht="13" x14ac:dyDescent="0.3">
      <c r="D22" s="74">
        <f>SUM(D20:D21)</f>
        <v>1.7177777777777778</v>
      </c>
    </row>
    <row r="24" spans="1:17" ht="15.5" x14ac:dyDescent="0.35">
      <c r="A24" s="7"/>
      <c r="B24" s="13"/>
      <c r="C24" s="15"/>
      <c r="D24" s="74"/>
      <c r="E24" s="13"/>
      <c r="F24" s="7"/>
      <c r="G24" s="13"/>
      <c r="H24" s="15"/>
      <c r="I24" s="74"/>
      <c r="J24" s="13"/>
      <c r="K24" s="7"/>
      <c r="L24" s="13"/>
      <c r="M24" s="15"/>
      <c r="N24" s="74"/>
    </row>
    <row r="25" spans="1:17" ht="15.5" x14ac:dyDescent="0.35">
      <c r="A25" s="164" t="s">
        <v>460</v>
      </c>
      <c r="B25" s="166"/>
      <c r="C25" s="167"/>
      <c r="D25" s="188"/>
      <c r="E25" s="166"/>
      <c r="F25" s="164"/>
      <c r="G25" s="166"/>
      <c r="H25" s="167"/>
      <c r="I25" s="188"/>
      <c r="J25" s="166"/>
      <c r="K25" s="164"/>
      <c r="L25" s="166"/>
      <c r="M25" s="167"/>
      <c r="N25" s="188"/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59" t="s">
        <v>41</v>
      </c>
      <c r="B27" s="160"/>
      <c r="C27" s="161"/>
      <c r="D27" s="162"/>
    </row>
    <row r="28" spans="1:17" ht="15.5" x14ac:dyDescent="0.35">
      <c r="A28" s="6"/>
      <c r="B28" s="7" t="s">
        <v>1</v>
      </c>
      <c r="C28" s="8" t="s">
        <v>2</v>
      </c>
      <c r="D28" s="8" t="s">
        <v>4</v>
      </c>
      <c r="E28" s="264"/>
    </row>
    <row r="29" spans="1:17" ht="15.5" x14ac:dyDescent="0.35">
      <c r="A29" s="171" t="s">
        <v>449</v>
      </c>
      <c r="B29" s="170">
        <v>1</v>
      </c>
      <c r="C29" s="10">
        <f>D22</f>
        <v>1.7177777777777778</v>
      </c>
      <c r="D29" s="157">
        <f>B29*C29</f>
        <v>1.7177777777777778</v>
      </c>
      <c r="E29" s="158"/>
    </row>
    <row r="30" spans="1:17" ht="15.5" x14ac:dyDescent="0.35">
      <c r="A30" s="7" t="s">
        <v>139</v>
      </c>
      <c r="B30" s="28">
        <v>1</v>
      </c>
      <c r="C30" s="157">
        <f>'Ingredient Cost'!D88</f>
        <v>0.09</v>
      </c>
      <c r="D30" s="10">
        <f>C30*B30</f>
        <v>0.09</v>
      </c>
    </row>
    <row r="31" spans="1:17" ht="15.5" x14ac:dyDescent="0.35">
      <c r="A31" s="6" t="s">
        <v>0</v>
      </c>
      <c r="B31" s="13"/>
      <c r="C31" s="15"/>
      <c r="D31" s="74">
        <f>SUM(D29:D30)</f>
        <v>1.8077777777777779</v>
      </c>
      <c r="E31" s="264"/>
    </row>
    <row r="32" spans="1:17" ht="15.5" x14ac:dyDescent="0.35">
      <c r="A32" s="7"/>
      <c r="B32" s="13"/>
      <c r="C32" s="15"/>
      <c r="D32" s="74"/>
      <c r="E32" s="13"/>
      <c r="F32" s="7"/>
      <c r="G32" s="13"/>
      <c r="H32" s="15"/>
      <c r="I32" s="74"/>
      <c r="J32" s="13"/>
      <c r="K32" s="7"/>
      <c r="L32" s="13"/>
      <c r="M32" s="15"/>
      <c r="N32" s="74"/>
    </row>
    <row r="34" spans="1:17" ht="15.5" x14ac:dyDescent="0.35">
      <c r="A34" s="164" t="s">
        <v>461</v>
      </c>
      <c r="B34" s="165"/>
      <c r="C34" s="167"/>
      <c r="D34" s="189" t="s">
        <v>462</v>
      </c>
      <c r="E34" s="164" t="s">
        <v>456</v>
      </c>
      <c r="F34" s="164"/>
      <c r="G34" s="166"/>
      <c r="H34" s="167"/>
      <c r="I34" s="168"/>
      <c r="J34" s="166"/>
      <c r="K34" s="169"/>
      <c r="L34" s="169"/>
      <c r="M34" s="166"/>
      <c r="N34" s="166"/>
      <c r="O34" s="13"/>
      <c r="P34" s="13"/>
      <c r="Q34" s="13"/>
    </row>
    <row r="35" spans="1:17" ht="15.5" x14ac:dyDescent="0.35">
      <c r="A35" s="7"/>
      <c r="B35" s="13"/>
      <c r="C35" s="15"/>
      <c r="D35" s="20"/>
      <c r="E35" s="13"/>
      <c r="F35" s="22"/>
      <c r="G35" s="22"/>
      <c r="H35" s="22"/>
      <c r="I35" s="22"/>
      <c r="J35" s="22"/>
      <c r="K35" s="22"/>
      <c r="L35" s="22"/>
      <c r="M35" s="13"/>
      <c r="N35" s="13"/>
      <c r="O35" s="13"/>
      <c r="P35" s="13"/>
      <c r="Q35" s="13"/>
    </row>
    <row r="36" spans="1:17" ht="15.5" x14ac:dyDescent="0.35">
      <c r="A36" s="159" t="s">
        <v>41</v>
      </c>
      <c r="B36" s="160"/>
      <c r="C36" s="161"/>
      <c r="D36" s="162"/>
    </row>
    <row r="37" spans="1:17" ht="15.5" x14ac:dyDescent="0.35">
      <c r="A37" s="6"/>
      <c r="B37" s="7" t="s">
        <v>1</v>
      </c>
      <c r="C37" s="8" t="s">
        <v>2</v>
      </c>
      <c r="D37" s="8" t="s">
        <v>4</v>
      </c>
      <c r="E37" s="264"/>
    </row>
    <row r="38" spans="1:17" ht="15.5" x14ac:dyDescent="0.35">
      <c r="A38" s="171" t="s">
        <v>463</v>
      </c>
      <c r="B38" s="170">
        <v>1</v>
      </c>
      <c r="C38" s="10">
        <f>D31</f>
        <v>1.8077777777777779</v>
      </c>
      <c r="D38" s="157">
        <f>B38*C38</f>
        <v>1.8077777777777779</v>
      </c>
      <c r="E38" s="158"/>
    </row>
    <row r="39" spans="1:17" ht="15.5" x14ac:dyDescent="0.35">
      <c r="A39" s="7" t="s">
        <v>180</v>
      </c>
      <c r="B39" s="28">
        <v>55</v>
      </c>
      <c r="C39" s="10">
        <f>'Ingredient Cost'!$B$113</f>
        <v>20</v>
      </c>
      <c r="D39" s="10">
        <f>C39/B39</f>
        <v>0.36363636363636365</v>
      </c>
      <c r="E39" s="13"/>
    </row>
    <row r="40" spans="1:17" ht="15.5" x14ac:dyDescent="0.35">
      <c r="A40" s="6" t="s">
        <v>0</v>
      </c>
      <c r="B40" s="13"/>
      <c r="C40" s="15"/>
      <c r="D40" s="74">
        <f>SUM(D38:D39)</f>
        <v>2.1714141414141417</v>
      </c>
      <c r="E40" s="264"/>
    </row>
    <row r="41" spans="1:17" ht="15.5" x14ac:dyDescent="0.35">
      <c r="A41" s="7"/>
      <c r="B41" s="13"/>
      <c r="C41" s="15"/>
      <c r="D41" s="74"/>
      <c r="E41" s="13"/>
      <c r="F41" s="7"/>
      <c r="G41" s="13"/>
      <c r="H41" s="15"/>
      <c r="I41" s="74"/>
      <c r="J41" s="13"/>
      <c r="K41" s="7"/>
      <c r="L41" s="13"/>
      <c r="M41" s="15"/>
      <c r="N41" s="74"/>
    </row>
    <row r="42" spans="1:17" ht="15.5" x14ac:dyDescent="0.35">
      <c r="A42" s="7"/>
      <c r="B42" s="74" t="s">
        <v>467</v>
      </c>
      <c r="C42" s="163"/>
      <c r="D42" s="191">
        <f>D39/D38</f>
        <v>0.20115103089903336</v>
      </c>
      <c r="E42" s="13"/>
      <c r="F42" s="7"/>
    </row>
    <row r="43" spans="1:17" ht="15.5" x14ac:dyDescent="0.35">
      <c r="A43" s="164" t="s">
        <v>448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5" spans="1:17" ht="15.5" x14ac:dyDescent="0.35">
      <c r="A45" s="190" t="s">
        <v>595</v>
      </c>
      <c r="B45" s="159"/>
      <c r="C45" s="161"/>
      <c r="D45" s="162"/>
      <c r="J45" s="7"/>
      <c r="K45" s="7"/>
      <c r="L45" s="47"/>
      <c r="M45" s="48"/>
      <c r="N45" s="49"/>
    </row>
    <row r="46" spans="1:17" ht="15.5" x14ac:dyDescent="0.35">
      <c r="A46" s="7"/>
      <c r="B46" s="7" t="s">
        <v>1</v>
      </c>
      <c r="C46" s="8" t="s">
        <v>2</v>
      </c>
      <c r="D46" s="8" t="s">
        <v>4</v>
      </c>
      <c r="E46" s="13"/>
      <c r="J46" s="13"/>
      <c r="K46" s="7"/>
      <c r="L46" s="7"/>
      <c r="M46" s="8"/>
      <c r="N46" s="8"/>
    </row>
    <row r="47" spans="1:17" ht="15.5" x14ac:dyDescent="0.35">
      <c r="A47" s="7" t="s">
        <v>454</v>
      </c>
      <c r="B47" s="28">
        <v>6</v>
      </c>
      <c r="C47" s="10">
        <f>D40</f>
        <v>2.1714141414141417</v>
      </c>
      <c r="D47" s="11">
        <f>B47*C47</f>
        <v>13.028484848484851</v>
      </c>
      <c r="E47" s="13"/>
      <c r="J47" s="13"/>
      <c r="K47" s="7"/>
      <c r="L47" s="13"/>
      <c r="M47" s="15"/>
      <c r="N47" s="74"/>
    </row>
    <row r="48" spans="1:17" ht="15.5" x14ac:dyDescent="0.35">
      <c r="A48" s="7" t="s">
        <v>464</v>
      </c>
      <c r="B48" s="28">
        <v>1</v>
      </c>
      <c r="C48" s="10">
        <f>'Ingredient Cost'!D108</f>
        <v>0.2</v>
      </c>
      <c r="D48" s="10">
        <f>B48*C48</f>
        <v>0.2</v>
      </c>
      <c r="E48" s="13"/>
      <c r="J48" s="13"/>
      <c r="K48" s="7"/>
      <c r="L48" s="13"/>
      <c r="M48" s="15"/>
      <c r="N48" s="15"/>
    </row>
    <row r="49" spans="1:14" ht="15.5" x14ac:dyDescent="0.35">
      <c r="A49" s="7" t="s">
        <v>180</v>
      </c>
      <c r="B49" s="28">
        <v>250</v>
      </c>
      <c r="C49" s="10">
        <f>C39</f>
        <v>20</v>
      </c>
      <c r="D49" s="10">
        <f>C49/B49</f>
        <v>0.08</v>
      </c>
      <c r="E49" s="13"/>
      <c r="J49" s="13"/>
      <c r="K49" s="7"/>
      <c r="L49" s="13"/>
      <c r="M49" s="15"/>
      <c r="N49" s="15"/>
    </row>
    <row r="50" spans="1:14" ht="15.5" x14ac:dyDescent="0.35">
      <c r="A50" s="7" t="s">
        <v>184</v>
      </c>
      <c r="B50" s="28">
        <v>1</v>
      </c>
      <c r="C50" s="10">
        <v>0.01</v>
      </c>
      <c r="D50" s="10">
        <f>B50*C50</f>
        <v>0.01</v>
      </c>
      <c r="E50" s="13"/>
      <c r="J50" s="13"/>
      <c r="K50" s="7"/>
      <c r="L50" s="13"/>
      <c r="M50" s="15"/>
      <c r="N50" s="15"/>
    </row>
    <row r="51" spans="1:14" ht="15.5" x14ac:dyDescent="0.35">
      <c r="A51" s="7" t="s">
        <v>0</v>
      </c>
      <c r="B51" s="13"/>
      <c r="C51" s="15"/>
      <c r="D51" s="74">
        <f>SUM(D47:D50)</f>
        <v>13.31848484848485</v>
      </c>
      <c r="E51" s="13"/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D51/6</f>
        <v>2.219747474747475</v>
      </c>
    </row>
    <row r="53" spans="1:14" ht="15.5" x14ac:dyDescent="0.35">
      <c r="A53" s="7"/>
      <c r="D53" s="74"/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3B5D-7452-4E97-8A1A-0A296234C5B1}">
  <sheetPr>
    <tabColor rgb="FF92D050"/>
  </sheetPr>
  <dimension ref="A1:Q63"/>
  <sheetViews>
    <sheetView showGridLines="0" topLeftCell="A28" workbookViewId="0">
      <selection activeCell="F29" sqref="F29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587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</row>
    <row r="20" spans="1:17" ht="15.5" x14ac:dyDescent="0.35">
      <c r="A20" s="7" t="s">
        <v>588</v>
      </c>
      <c r="B20" s="196">
        <f>'Ingredient Cost'!D54</f>
        <v>0.34</v>
      </c>
      <c r="C20" s="197">
        <v>1</v>
      </c>
      <c r="D20" s="10">
        <f>B20/C20</f>
        <v>0.34</v>
      </c>
    </row>
    <row r="21" spans="1:17" ht="15.5" x14ac:dyDescent="0.35">
      <c r="A21" s="7" t="s">
        <v>240</v>
      </c>
      <c r="B21" s="196">
        <f>'Ingredient Cost'!D16</f>
        <v>0.27</v>
      </c>
      <c r="C21" s="197">
        <v>1</v>
      </c>
      <c r="D21" s="10">
        <f>B21/C21</f>
        <v>0.27</v>
      </c>
    </row>
    <row r="22" spans="1:17" ht="15.5" x14ac:dyDescent="0.35">
      <c r="A22" s="7" t="s">
        <v>59</v>
      </c>
      <c r="B22" s="196">
        <f>'Ingredient Cost'!D17</f>
        <v>1.26</v>
      </c>
      <c r="C22" s="197">
        <v>60</v>
      </c>
      <c r="D22" s="10">
        <f>B22/C22</f>
        <v>2.1000000000000001E-2</v>
      </c>
    </row>
    <row r="23" spans="1:17" ht="15.5" x14ac:dyDescent="0.35">
      <c r="A23" s="7" t="s">
        <v>589</v>
      </c>
      <c r="B23" s="196">
        <f>'Ingredient Cost'!D7</f>
        <v>0.62</v>
      </c>
      <c r="C23" s="197">
        <v>30</v>
      </c>
      <c r="D23" s="10">
        <f>B23/C23</f>
        <v>2.0666666666666667E-2</v>
      </c>
    </row>
    <row r="24" spans="1:17" ht="13" x14ac:dyDescent="0.3">
      <c r="D24" s="74">
        <f>SUM(D20:D23)</f>
        <v>0.65166666666666684</v>
      </c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64" t="s">
        <v>460</v>
      </c>
      <c r="B27" s="166"/>
      <c r="C27" s="167"/>
      <c r="D27" s="188"/>
      <c r="E27" s="166"/>
      <c r="F27" s="164"/>
      <c r="G27" s="166"/>
      <c r="H27" s="167"/>
      <c r="I27" s="188"/>
      <c r="J27" s="166"/>
      <c r="K27" s="164"/>
      <c r="L27" s="166"/>
      <c r="M27" s="167"/>
      <c r="N27" s="188"/>
    </row>
    <row r="28" spans="1:17" ht="15.5" x14ac:dyDescent="0.35">
      <c r="A28" s="7"/>
      <c r="B28" s="13"/>
      <c r="C28" s="15"/>
      <c r="D28" s="74"/>
      <c r="E28" s="13"/>
      <c r="F28" s="7"/>
      <c r="G28" s="13"/>
      <c r="H28" s="15"/>
      <c r="I28" s="74"/>
      <c r="J28" s="13"/>
      <c r="K28" s="7"/>
      <c r="L28" s="13"/>
      <c r="M28" s="15"/>
      <c r="N28" s="74"/>
    </row>
    <row r="29" spans="1:17" ht="15.5" x14ac:dyDescent="0.35">
      <c r="A29" s="159" t="s">
        <v>41</v>
      </c>
      <c r="B29" s="160"/>
      <c r="C29" s="161"/>
      <c r="D29" s="162"/>
      <c r="F29" s="159" t="s">
        <v>487</v>
      </c>
      <c r="G29" s="160"/>
      <c r="H29" s="161"/>
      <c r="I29" s="162"/>
    </row>
    <row r="30" spans="1:17" ht="15.5" x14ac:dyDescent="0.35">
      <c r="A30" s="6"/>
      <c r="B30" s="7" t="s">
        <v>1</v>
      </c>
      <c r="C30" s="8" t="s">
        <v>2</v>
      </c>
      <c r="D30" s="8" t="s">
        <v>4</v>
      </c>
      <c r="E30" s="264"/>
      <c r="F30" s="263"/>
      <c r="G30" s="7" t="s">
        <v>1</v>
      </c>
      <c r="H30" s="8" t="s">
        <v>2</v>
      </c>
      <c r="I30" s="8" t="s">
        <v>4</v>
      </c>
    </row>
    <row r="31" spans="1:17" ht="15.5" x14ac:dyDescent="0.35">
      <c r="A31" s="171" t="s">
        <v>449</v>
      </c>
      <c r="B31" s="170">
        <v>1</v>
      </c>
      <c r="C31" s="10">
        <f>D24</f>
        <v>0.65166666666666684</v>
      </c>
      <c r="D31" s="157">
        <f>B31*C31</f>
        <v>0.65166666666666684</v>
      </c>
      <c r="E31" s="158"/>
      <c r="F31" s="171" t="s">
        <v>449</v>
      </c>
      <c r="G31" s="170">
        <v>2</v>
      </c>
      <c r="H31" s="10">
        <f>D24</f>
        <v>0.65166666666666684</v>
      </c>
      <c r="I31" s="10">
        <f>G31*H31</f>
        <v>1.3033333333333337</v>
      </c>
    </row>
    <row r="32" spans="1:17" ht="15.5" x14ac:dyDescent="0.35">
      <c r="A32" s="7" t="s">
        <v>139</v>
      </c>
      <c r="B32" s="28">
        <v>1</v>
      </c>
      <c r="C32" s="157">
        <v>0.02</v>
      </c>
      <c r="D32" s="10">
        <f>C32*B32</f>
        <v>0.02</v>
      </c>
      <c r="F32" s="7" t="s">
        <v>139</v>
      </c>
      <c r="G32" s="28">
        <v>1</v>
      </c>
      <c r="H32" s="157">
        <f>'Ingredient Cost'!D88</f>
        <v>0.09</v>
      </c>
      <c r="I32" s="10">
        <f>H32*G32</f>
        <v>0.09</v>
      </c>
    </row>
    <row r="33" spans="1:17" ht="15.5" x14ac:dyDescent="0.35">
      <c r="A33" s="6" t="s">
        <v>0</v>
      </c>
      <c r="B33" s="13"/>
      <c r="C33" s="15"/>
      <c r="D33" s="74">
        <f>SUM(D31:D32)</f>
        <v>0.67166666666666686</v>
      </c>
      <c r="E33" s="264"/>
      <c r="F33" s="263" t="s">
        <v>0</v>
      </c>
      <c r="G33" s="13"/>
      <c r="H33" s="15"/>
      <c r="I33" s="74">
        <f>SUM(I31:I32)</f>
        <v>1.3933333333333338</v>
      </c>
    </row>
    <row r="34" spans="1:17" ht="15.5" x14ac:dyDescent="0.35">
      <c r="A34" s="7"/>
      <c r="B34" s="13"/>
      <c r="C34" s="15"/>
      <c r="D34" s="74"/>
      <c r="E34" s="13"/>
      <c r="F34" s="7"/>
      <c r="G34" s="13"/>
      <c r="H34" s="15"/>
      <c r="I34" s="74"/>
      <c r="J34" s="13"/>
      <c r="K34" s="7"/>
      <c r="L34" s="13"/>
      <c r="M34" s="15"/>
      <c r="N34" s="74"/>
    </row>
    <row r="36" spans="1:17" ht="15.5" x14ac:dyDescent="0.35">
      <c r="A36" s="164" t="s">
        <v>461</v>
      </c>
      <c r="B36" s="165"/>
      <c r="C36" s="167"/>
      <c r="D36" s="189" t="s">
        <v>462</v>
      </c>
      <c r="E36" s="164" t="s">
        <v>456</v>
      </c>
      <c r="F36" s="164"/>
      <c r="G36" s="166"/>
      <c r="H36" s="167"/>
      <c r="I36" s="168"/>
      <c r="J36" s="166"/>
      <c r="K36" s="169"/>
      <c r="L36" s="169"/>
      <c r="M36" s="166"/>
      <c r="N36" s="166"/>
      <c r="O36" s="13"/>
      <c r="P36" s="13"/>
      <c r="Q36" s="13"/>
    </row>
    <row r="37" spans="1:17" ht="15.5" x14ac:dyDescent="0.35">
      <c r="A37" s="7"/>
      <c r="B37" s="13"/>
      <c r="C37" s="15"/>
      <c r="D37" s="20"/>
      <c r="E37" s="13"/>
      <c r="F37" s="22"/>
      <c r="G37" s="22"/>
      <c r="H37" s="22"/>
      <c r="I37" s="22"/>
      <c r="J37" s="22"/>
      <c r="K37" s="22"/>
      <c r="L37" s="22"/>
      <c r="M37" s="13"/>
      <c r="N37" s="13"/>
      <c r="O37" s="13"/>
      <c r="P37" s="13"/>
      <c r="Q37" s="13"/>
    </row>
    <row r="38" spans="1:17" ht="15.5" x14ac:dyDescent="0.35">
      <c r="A38" s="159" t="s">
        <v>41</v>
      </c>
      <c r="B38" s="160"/>
      <c r="C38" s="161"/>
      <c r="D38" s="162"/>
      <c r="F38" s="159" t="s">
        <v>487</v>
      </c>
      <c r="G38" s="160"/>
      <c r="H38" s="161"/>
      <c r="I38" s="162"/>
    </row>
    <row r="39" spans="1:17" ht="15.5" x14ac:dyDescent="0.35">
      <c r="A39" s="6"/>
      <c r="B39" s="7" t="s">
        <v>1</v>
      </c>
      <c r="C39" s="8" t="s">
        <v>2</v>
      </c>
      <c r="D39" s="8" t="s">
        <v>4</v>
      </c>
      <c r="E39" s="264"/>
      <c r="F39" s="263"/>
      <c r="G39" s="7" t="s">
        <v>1</v>
      </c>
      <c r="H39" s="8" t="s">
        <v>2</v>
      </c>
      <c r="I39" s="8" t="s">
        <v>4</v>
      </c>
    </row>
    <row r="40" spans="1:17" ht="15.5" x14ac:dyDescent="0.35">
      <c r="A40" s="171" t="s">
        <v>463</v>
      </c>
      <c r="B40" s="170">
        <v>1</v>
      </c>
      <c r="C40" s="10">
        <f>D33</f>
        <v>0.67166666666666686</v>
      </c>
      <c r="D40" s="157">
        <f>B40*C40</f>
        <v>0.67166666666666686</v>
      </c>
      <c r="E40" s="158"/>
      <c r="F40" s="171" t="s">
        <v>463</v>
      </c>
      <c r="G40" s="170">
        <v>1</v>
      </c>
      <c r="H40" s="10">
        <f>I33</f>
        <v>1.3933333333333338</v>
      </c>
      <c r="I40" s="10">
        <f>G40*H40</f>
        <v>1.3933333333333338</v>
      </c>
    </row>
    <row r="41" spans="1:17" ht="15.5" x14ac:dyDescent="0.35">
      <c r="A41" s="7" t="s">
        <v>180</v>
      </c>
      <c r="B41" s="28">
        <v>100</v>
      </c>
      <c r="C41" s="10">
        <f>'Ingredient Cost'!$B$113</f>
        <v>20</v>
      </c>
      <c r="D41" s="10">
        <f>C41/B41</f>
        <v>0.2</v>
      </c>
      <c r="E41" s="13"/>
      <c r="F41" s="7" t="s">
        <v>180</v>
      </c>
      <c r="G41" s="28">
        <v>100</v>
      </c>
      <c r="H41" s="10">
        <f>'Ingredient Cost'!$B$113</f>
        <v>20</v>
      </c>
      <c r="I41" s="10">
        <f>H41/G41</f>
        <v>0.2</v>
      </c>
    </row>
    <row r="42" spans="1:17" ht="15.5" x14ac:dyDescent="0.35">
      <c r="A42" s="6" t="s">
        <v>0</v>
      </c>
      <c r="B42" s="13"/>
      <c r="C42" s="15"/>
      <c r="D42" s="74">
        <f>SUM(D40:D41)</f>
        <v>0.87166666666666681</v>
      </c>
      <c r="E42" s="264"/>
      <c r="F42" s="263" t="s">
        <v>0</v>
      </c>
      <c r="G42" s="13"/>
      <c r="H42" s="15"/>
      <c r="I42" s="74">
        <f>SUM(I40:I41)</f>
        <v>1.5933333333333337</v>
      </c>
    </row>
    <row r="43" spans="1:17" ht="15.5" x14ac:dyDescent="0.35">
      <c r="A43" s="7"/>
      <c r="B43" s="13"/>
      <c r="C43" s="15"/>
      <c r="D43" s="74"/>
      <c r="E43" s="13"/>
      <c r="F43" s="7"/>
      <c r="G43" s="13"/>
      <c r="H43" s="15"/>
      <c r="I43" s="74"/>
      <c r="J43" s="13"/>
      <c r="K43" s="7"/>
      <c r="L43" s="13"/>
      <c r="M43" s="15"/>
      <c r="N43" s="74"/>
    </row>
    <row r="44" spans="1:17" ht="15.5" x14ac:dyDescent="0.35">
      <c r="A44" s="7"/>
      <c r="B44" s="74" t="s">
        <v>467</v>
      </c>
      <c r="C44" s="163"/>
      <c r="D44" s="191">
        <f>D41/D40</f>
        <v>0.29776674937965253</v>
      </c>
      <c r="E44" s="13"/>
      <c r="F44" s="7"/>
    </row>
    <row r="45" spans="1:17" ht="15.5" x14ac:dyDescent="0.35">
      <c r="A45" s="164" t="s">
        <v>448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</row>
    <row r="47" spans="1:17" ht="15.5" x14ac:dyDescent="0.35">
      <c r="A47" s="190" t="s">
        <v>590</v>
      </c>
      <c r="B47" s="159"/>
      <c r="C47" s="161"/>
      <c r="D47" s="162"/>
      <c r="F47" s="190" t="s">
        <v>592</v>
      </c>
      <c r="G47" s="190"/>
      <c r="H47" s="190"/>
      <c r="I47" s="190"/>
      <c r="J47" s="7"/>
      <c r="K47" s="7"/>
      <c r="L47" s="47"/>
      <c r="M47" s="48"/>
      <c r="N47" s="49"/>
    </row>
    <row r="48" spans="1:17" ht="15.5" x14ac:dyDescent="0.35">
      <c r="A48" s="7"/>
      <c r="B48" s="7" t="s">
        <v>1</v>
      </c>
      <c r="C48" s="8" t="s">
        <v>2</v>
      </c>
      <c r="D48" s="8" t="s">
        <v>4</v>
      </c>
      <c r="E48" s="13"/>
      <c r="F48" s="7"/>
      <c r="G48" s="7" t="s">
        <v>1</v>
      </c>
      <c r="H48" s="8" t="s">
        <v>2</v>
      </c>
      <c r="I48" s="8" t="s">
        <v>4</v>
      </c>
      <c r="J48" s="13"/>
      <c r="K48" s="7"/>
      <c r="L48" s="7"/>
      <c r="M48" s="8"/>
      <c r="N48" s="8"/>
    </row>
    <row r="49" spans="1:14" ht="15.5" x14ac:dyDescent="0.35">
      <c r="A49" s="7" t="s">
        <v>454</v>
      </c>
      <c r="B49" s="28">
        <v>6</v>
      </c>
      <c r="C49" s="10">
        <f>D42</f>
        <v>0.87166666666666681</v>
      </c>
      <c r="D49" s="11">
        <f>B49*C49</f>
        <v>5.23</v>
      </c>
      <c r="E49" s="13"/>
      <c r="F49" s="7" t="s">
        <v>454</v>
      </c>
      <c r="G49" s="28">
        <v>6</v>
      </c>
      <c r="H49" s="10">
        <f>I42</f>
        <v>1.5933333333333337</v>
      </c>
      <c r="I49" s="11">
        <f>G49*H49</f>
        <v>9.5600000000000023</v>
      </c>
      <c r="J49" s="13"/>
      <c r="K49" s="7"/>
      <c r="L49" s="13"/>
      <c r="M49" s="15"/>
      <c r="N49" s="74"/>
    </row>
    <row r="50" spans="1:14" ht="15.5" x14ac:dyDescent="0.35">
      <c r="A50" s="7" t="s">
        <v>464</v>
      </c>
      <c r="B50" s="28">
        <v>1</v>
      </c>
      <c r="C50" s="10">
        <f>'Ingredient Cost'!D108</f>
        <v>0.2</v>
      </c>
      <c r="D50" s="10">
        <f>B50*C50</f>
        <v>0.2</v>
      </c>
      <c r="E50" s="13"/>
      <c r="F50" s="7" t="s">
        <v>464</v>
      </c>
      <c r="G50" s="28">
        <v>1</v>
      </c>
      <c r="H50" s="10">
        <f>'Ingredient Cost'!D108</f>
        <v>0.2</v>
      </c>
      <c r="I50" s="10">
        <f>G50*H50</f>
        <v>0.2</v>
      </c>
      <c r="J50" s="13"/>
      <c r="K50" s="7"/>
      <c r="L50" s="13"/>
      <c r="M50" s="15"/>
      <c r="N50" s="15"/>
    </row>
    <row r="51" spans="1:14" ht="15.5" x14ac:dyDescent="0.35">
      <c r="A51" s="7" t="s">
        <v>180</v>
      </c>
      <c r="B51" s="28">
        <v>250</v>
      </c>
      <c r="C51" s="10">
        <f>C41</f>
        <v>20</v>
      </c>
      <c r="D51" s="10">
        <f>C51/B51</f>
        <v>0.08</v>
      </c>
      <c r="E51" s="13"/>
      <c r="F51" s="7" t="s">
        <v>180</v>
      </c>
      <c r="G51" s="28">
        <v>250</v>
      </c>
      <c r="H51" s="10">
        <f>C41</f>
        <v>20</v>
      </c>
      <c r="I51" s="10">
        <f>H51/G51</f>
        <v>0.08</v>
      </c>
      <c r="J51" s="13"/>
      <c r="K51" s="7"/>
      <c r="L51" s="13"/>
      <c r="M51" s="15"/>
      <c r="N51" s="15"/>
    </row>
    <row r="52" spans="1:14" ht="15.5" x14ac:dyDescent="0.35">
      <c r="A52" s="7" t="s">
        <v>184</v>
      </c>
      <c r="B52" s="28">
        <v>1</v>
      </c>
      <c r="C52" s="10">
        <v>0.01</v>
      </c>
      <c r="D52" s="10">
        <f>B52*C52</f>
        <v>0.01</v>
      </c>
      <c r="E52" s="13"/>
      <c r="F52" s="7" t="s">
        <v>184</v>
      </c>
      <c r="G52" s="28">
        <v>1</v>
      </c>
      <c r="H52" s="10">
        <v>0.01</v>
      </c>
      <c r="I52" s="10">
        <f>G52*H52</f>
        <v>0.01</v>
      </c>
      <c r="J52" s="13"/>
      <c r="K52" s="7"/>
      <c r="L52" s="13"/>
      <c r="M52" s="15"/>
      <c r="N52" s="15"/>
    </row>
    <row r="53" spans="1:14" ht="15.5" x14ac:dyDescent="0.35">
      <c r="A53" s="7" t="s">
        <v>0</v>
      </c>
      <c r="B53" s="13"/>
      <c r="C53" s="15"/>
      <c r="D53" s="74">
        <f>SUM(D49:D52)</f>
        <v>5.5200000000000005</v>
      </c>
      <c r="E53" s="13"/>
      <c r="F53" s="7" t="s">
        <v>0</v>
      </c>
      <c r="G53" s="13"/>
      <c r="H53" s="15"/>
      <c r="I53" s="74">
        <f>SUM(I49:I52)</f>
        <v>9.8500000000000014</v>
      </c>
      <c r="J53" s="13"/>
      <c r="K53" s="7"/>
      <c r="L53" s="13"/>
      <c r="M53" s="15"/>
      <c r="N53" s="82"/>
    </row>
    <row r="54" spans="1:14" ht="15.5" x14ac:dyDescent="0.35">
      <c r="A54" s="7" t="s">
        <v>182</v>
      </c>
      <c r="D54" s="74">
        <f>D53/6</f>
        <v>0.92</v>
      </c>
      <c r="F54" s="7" t="s">
        <v>182</v>
      </c>
      <c r="I54" s="74">
        <f>I53/6</f>
        <v>1.6416666666666668</v>
      </c>
    </row>
    <row r="55" spans="1:14" ht="15.5" x14ac:dyDescent="0.35">
      <c r="A55" s="7"/>
      <c r="D55" s="74"/>
      <c r="F55" s="7"/>
      <c r="I55" s="74"/>
    </row>
    <row r="56" spans="1:14" ht="15.5" x14ac:dyDescent="0.35">
      <c r="A56" s="190" t="s">
        <v>591</v>
      </c>
      <c r="B56" s="159"/>
      <c r="C56" s="161"/>
      <c r="D56" s="162"/>
      <c r="F56" s="190" t="s">
        <v>593</v>
      </c>
      <c r="G56" s="190"/>
      <c r="H56" s="190"/>
      <c r="I56" s="190"/>
    </row>
    <row r="57" spans="1:14" ht="15.5" x14ac:dyDescent="0.35">
      <c r="A57" s="7"/>
      <c r="B57" s="7" t="s">
        <v>1</v>
      </c>
      <c r="C57" s="8" t="s">
        <v>2</v>
      </c>
      <c r="D57" s="8" t="s">
        <v>4</v>
      </c>
      <c r="F57" s="7"/>
      <c r="G57" s="7" t="s">
        <v>1</v>
      </c>
      <c r="H57" s="8" t="s">
        <v>2</v>
      </c>
      <c r="I57" s="8" t="s">
        <v>4</v>
      </c>
    </row>
    <row r="58" spans="1:14" ht="15.5" x14ac:dyDescent="0.35">
      <c r="A58" s="7" t="s">
        <v>454</v>
      </c>
      <c r="B58" s="28">
        <v>9</v>
      </c>
      <c r="C58" s="10">
        <f>D42</f>
        <v>0.87166666666666681</v>
      </c>
      <c r="D58" s="11">
        <f>B58*C58</f>
        <v>7.8450000000000015</v>
      </c>
      <c r="F58" s="7" t="s">
        <v>454</v>
      </c>
      <c r="G58" s="28">
        <v>9</v>
      </c>
      <c r="H58" s="10">
        <f>I42</f>
        <v>1.5933333333333337</v>
      </c>
      <c r="I58" s="11">
        <f>G58*H58</f>
        <v>14.340000000000003</v>
      </c>
    </row>
    <row r="59" spans="1:14" ht="15.5" x14ac:dyDescent="0.35">
      <c r="A59" s="7" t="s">
        <v>464</v>
      </c>
      <c r="B59" s="28">
        <v>1</v>
      </c>
      <c r="C59" s="10">
        <f>'Ingredient Cost'!D108</f>
        <v>0.2</v>
      </c>
      <c r="D59" s="10">
        <f>B59*C59</f>
        <v>0.2</v>
      </c>
      <c r="F59" s="7" t="s">
        <v>464</v>
      </c>
      <c r="G59" s="28">
        <v>1</v>
      </c>
      <c r="H59" s="10">
        <f>'Ingredient Cost'!D108</f>
        <v>0.2</v>
      </c>
      <c r="I59" s="10">
        <f>G59*H59</f>
        <v>0.2</v>
      </c>
    </row>
    <row r="60" spans="1:14" ht="15.5" x14ac:dyDescent="0.35">
      <c r="A60" s="7" t="s">
        <v>180</v>
      </c>
      <c r="B60" s="28">
        <v>250</v>
      </c>
      <c r="C60" s="10">
        <f>C41</f>
        <v>20</v>
      </c>
      <c r="D60" s="10">
        <f>C60/B60</f>
        <v>0.08</v>
      </c>
      <c r="F60" s="7" t="s">
        <v>180</v>
      </c>
      <c r="G60" s="28">
        <v>250</v>
      </c>
      <c r="H60" s="10">
        <f>C41</f>
        <v>20</v>
      </c>
      <c r="I60" s="10">
        <f>H60/G60</f>
        <v>0.08</v>
      </c>
    </row>
    <row r="61" spans="1:14" ht="15.5" x14ac:dyDescent="0.35">
      <c r="A61" s="7" t="s">
        <v>184</v>
      </c>
      <c r="B61" s="28">
        <v>1</v>
      </c>
      <c r="C61" s="10">
        <v>0.01</v>
      </c>
      <c r="D61" s="10">
        <f>B61*C61</f>
        <v>0.01</v>
      </c>
      <c r="F61" s="7" t="s">
        <v>184</v>
      </c>
      <c r="G61" s="28">
        <v>1</v>
      </c>
      <c r="H61" s="10">
        <v>0.01</v>
      </c>
      <c r="I61" s="10">
        <f>G61*H61</f>
        <v>0.01</v>
      </c>
    </row>
    <row r="62" spans="1:14" ht="15.5" x14ac:dyDescent="0.35">
      <c r="A62" s="7" t="s">
        <v>0</v>
      </c>
      <c r="B62" s="13"/>
      <c r="C62" s="15"/>
      <c r="D62" s="74">
        <f>SUM(D58:D61)</f>
        <v>8.1350000000000016</v>
      </c>
      <c r="F62" s="7" t="s">
        <v>0</v>
      </c>
      <c r="G62" s="13"/>
      <c r="H62" s="15"/>
      <c r="I62" s="74">
        <f>SUM(I58:I61)</f>
        <v>14.630000000000003</v>
      </c>
    </row>
    <row r="63" spans="1:14" ht="15.5" x14ac:dyDescent="0.35">
      <c r="A63" s="7" t="s">
        <v>182</v>
      </c>
      <c r="D63" s="74">
        <f>D62/9</f>
        <v>0.90388888888888907</v>
      </c>
      <c r="F63" s="7" t="s">
        <v>182</v>
      </c>
      <c r="I63" s="74">
        <f>I62/9</f>
        <v>1.6255555555555559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441F-8810-4DA2-8E22-1D2039B85D68}">
  <sheetPr>
    <tabColor rgb="FF92D050"/>
  </sheetPr>
  <dimension ref="A1:Q54"/>
  <sheetViews>
    <sheetView showGridLines="0" topLeftCell="A21" workbookViewId="0">
      <selection activeCell="C20" sqref="C20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150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</row>
    <row r="20" spans="1:17" ht="15.5" x14ac:dyDescent="0.35">
      <c r="A20" s="7" t="s">
        <v>470</v>
      </c>
      <c r="B20" s="196">
        <v>56.25</v>
      </c>
      <c r="C20" s="197">
        <v>180</v>
      </c>
      <c r="D20" s="10">
        <f>B20/C20</f>
        <v>0.3125</v>
      </c>
    </row>
    <row r="21" spans="1:17" ht="15.5" x14ac:dyDescent="0.35">
      <c r="A21" s="7" t="s">
        <v>469</v>
      </c>
      <c r="B21" s="196">
        <v>20.87</v>
      </c>
      <c r="C21" s="197">
        <v>148</v>
      </c>
      <c r="D21" s="10">
        <f>B21/C21</f>
        <v>0.14101351351351352</v>
      </c>
    </row>
    <row r="22" spans="1:17" ht="13" x14ac:dyDescent="0.3">
      <c r="D22" s="74">
        <f>SUM(D20:D21)</f>
        <v>0.45351351351351354</v>
      </c>
    </row>
    <row r="24" spans="1:17" ht="15.5" x14ac:dyDescent="0.35">
      <c r="A24" s="7"/>
      <c r="B24" s="13"/>
      <c r="C24" s="15"/>
      <c r="D24" s="74"/>
      <c r="E24" s="13"/>
      <c r="F24" s="7"/>
      <c r="G24" s="13"/>
      <c r="H24" s="15"/>
      <c r="I24" s="74"/>
      <c r="J24" s="13"/>
      <c r="K24" s="7"/>
      <c r="L24" s="13"/>
      <c r="M24" s="15"/>
      <c r="N24" s="74"/>
    </row>
    <row r="25" spans="1:17" ht="15.5" x14ac:dyDescent="0.35">
      <c r="A25" s="164" t="s">
        <v>460</v>
      </c>
      <c r="B25" s="166"/>
      <c r="C25" s="167"/>
      <c r="D25" s="188"/>
      <c r="E25" s="166"/>
      <c r="F25" s="164"/>
      <c r="G25" s="166"/>
      <c r="H25" s="167"/>
      <c r="I25" s="188"/>
      <c r="J25" s="166"/>
      <c r="K25" s="164"/>
      <c r="L25" s="166"/>
      <c r="M25" s="167"/>
      <c r="N25" s="188"/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59" t="s">
        <v>459</v>
      </c>
      <c r="B27" s="160"/>
      <c r="C27" s="161"/>
      <c r="D27" s="162"/>
    </row>
    <row r="28" spans="1:17" ht="15.5" x14ac:dyDescent="0.35">
      <c r="A28" s="6"/>
      <c r="B28" s="7" t="s">
        <v>1</v>
      </c>
      <c r="C28" s="8" t="s">
        <v>2</v>
      </c>
      <c r="D28" s="8" t="s">
        <v>4</v>
      </c>
      <c r="E28" s="13"/>
    </row>
    <row r="29" spans="1:17" ht="15.5" x14ac:dyDescent="0.35">
      <c r="A29" s="171" t="s">
        <v>449</v>
      </c>
      <c r="B29" s="170">
        <v>1</v>
      </c>
      <c r="C29" s="10">
        <f>D22</f>
        <v>0.45351351351351354</v>
      </c>
      <c r="D29" s="157">
        <f>B29*C29</f>
        <v>0.45351351351351354</v>
      </c>
      <c r="E29" s="158"/>
    </row>
    <row r="30" spans="1:17" ht="15.5" x14ac:dyDescent="0.35">
      <c r="A30" s="7" t="s">
        <v>139</v>
      </c>
      <c r="B30" s="28">
        <v>1</v>
      </c>
      <c r="C30" s="157">
        <v>0.09</v>
      </c>
      <c r="D30" s="10">
        <f>C30*B30</f>
        <v>0.09</v>
      </c>
    </row>
    <row r="31" spans="1:17" ht="15.5" x14ac:dyDescent="0.35">
      <c r="A31" s="6" t="s">
        <v>0</v>
      </c>
      <c r="B31" s="13"/>
      <c r="C31" s="15"/>
      <c r="D31" s="74">
        <f>SUM(D29:D30)</f>
        <v>0.54351351351351351</v>
      </c>
      <c r="E31" s="13"/>
    </row>
    <row r="32" spans="1:17" ht="15.5" x14ac:dyDescent="0.35">
      <c r="A32" s="7"/>
      <c r="B32" s="13"/>
      <c r="C32" s="15"/>
      <c r="D32" s="74"/>
      <c r="E32" s="13"/>
      <c r="F32" s="7"/>
      <c r="G32" s="13"/>
      <c r="H32" s="15"/>
      <c r="I32" s="74"/>
      <c r="J32" s="13"/>
      <c r="K32" s="7"/>
      <c r="L32" s="13"/>
      <c r="M32" s="15"/>
      <c r="N32" s="74"/>
    </row>
    <row r="34" spans="1:17" ht="15.5" x14ac:dyDescent="0.35">
      <c r="A34" s="164" t="s">
        <v>461</v>
      </c>
      <c r="B34" s="165"/>
      <c r="C34" s="167"/>
      <c r="D34" s="189" t="s">
        <v>462</v>
      </c>
      <c r="E34" s="164" t="s">
        <v>456</v>
      </c>
      <c r="F34" s="164"/>
      <c r="G34" s="166"/>
      <c r="H34" s="167"/>
      <c r="I34" s="168"/>
      <c r="J34" s="166"/>
      <c r="K34" s="169"/>
      <c r="L34" s="169"/>
      <c r="M34" s="166"/>
      <c r="N34" s="166"/>
      <c r="O34" s="13"/>
      <c r="P34" s="13"/>
      <c r="Q34" s="13"/>
    </row>
    <row r="35" spans="1:17" ht="15.5" x14ac:dyDescent="0.35">
      <c r="A35" s="7"/>
      <c r="B35" s="13"/>
      <c r="C35" s="15"/>
      <c r="D35" s="20"/>
      <c r="E35" s="13"/>
      <c r="F35" s="22"/>
      <c r="G35" s="22"/>
      <c r="H35" s="22"/>
      <c r="I35" s="22"/>
      <c r="J35" s="22"/>
      <c r="K35" s="22"/>
      <c r="L35" s="22"/>
      <c r="M35" s="13"/>
      <c r="N35" s="13"/>
      <c r="O35" s="13"/>
      <c r="P35" s="13"/>
      <c r="Q35" s="13"/>
    </row>
    <row r="36" spans="1:17" ht="15.5" x14ac:dyDescent="0.35">
      <c r="A36" s="159" t="s">
        <v>472</v>
      </c>
      <c r="B36" s="160"/>
      <c r="C36" s="161"/>
      <c r="D36" s="162"/>
    </row>
    <row r="37" spans="1:17" ht="15.5" x14ac:dyDescent="0.35">
      <c r="A37" s="6"/>
      <c r="B37" s="7" t="s">
        <v>1</v>
      </c>
      <c r="C37" s="8" t="s">
        <v>2</v>
      </c>
      <c r="D37" s="8" t="s">
        <v>4</v>
      </c>
      <c r="E37" s="13"/>
    </row>
    <row r="38" spans="1:17" ht="15.5" x14ac:dyDescent="0.35">
      <c r="A38" s="171" t="s">
        <v>463</v>
      </c>
      <c r="B38" s="170">
        <v>1</v>
      </c>
      <c r="C38" s="10">
        <f>D31</f>
        <v>0.54351351351351351</v>
      </c>
      <c r="D38" s="157">
        <f>B38*C38</f>
        <v>0.54351351351351351</v>
      </c>
      <c r="E38" s="158"/>
    </row>
    <row r="39" spans="1:17" ht="15.5" x14ac:dyDescent="0.35">
      <c r="A39" s="7" t="s">
        <v>180</v>
      </c>
      <c r="B39" s="28">
        <v>120</v>
      </c>
      <c r="C39" s="10">
        <f>'Ingredient Cost'!$B$113</f>
        <v>20</v>
      </c>
      <c r="D39" s="10">
        <f>C39/B39</f>
        <v>0.16666666666666666</v>
      </c>
      <c r="E39" s="13"/>
    </row>
    <row r="40" spans="1:17" ht="15.5" x14ac:dyDescent="0.35">
      <c r="A40" s="6" t="s">
        <v>0</v>
      </c>
      <c r="B40" s="13"/>
      <c r="C40" s="15"/>
      <c r="D40" s="74">
        <f>SUM(D38:D39)</f>
        <v>0.71018018018018014</v>
      </c>
      <c r="E40" s="13"/>
    </row>
    <row r="41" spans="1:17" ht="15.5" x14ac:dyDescent="0.35">
      <c r="A41" s="7"/>
      <c r="B41" s="13"/>
      <c r="C41" s="15"/>
      <c r="D41" s="74"/>
      <c r="E41" s="13"/>
      <c r="F41" s="7"/>
      <c r="G41" s="13"/>
      <c r="H41" s="15"/>
      <c r="I41" s="74"/>
      <c r="J41" s="13"/>
      <c r="K41" s="7"/>
      <c r="L41" s="13"/>
      <c r="M41" s="15"/>
      <c r="N41" s="74"/>
    </row>
    <row r="42" spans="1:17" ht="15.5" x14ac:dyDescent="0.35">
      <c r="A42" s="7"/>
      <c r="B42" s="74" t="s">
        <v>467</v>
      </c>
      <c r="C42" s="163"/>
      <c r="D42" s="191">
        <f>D39/D38</f>
        <v>0.30664677606497592</v>
      </c>
      <c r="E42" s="13"/>
      <c r="F42" s="7"/>
    </row>
    <row r="43" spans="1:17" ht="15.5" x14ac:dyDescent="0.35">
      <c r="A43" s="164" t="s">
        <v>448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5" spans="1:17" ht="15.5" x14ac:dyDescent="0.35">
      <c r="A45" s="190" t="s">
        <v>473</v>
      </c>
      <c r="B45" s="159"/>
      <c r="C45" s="161"/>
      <c r="D45" s="162"/>
      <c r="F45" s="190" t="s">
        <v>474</v>
      </c>
      <c r="G45" s="190"/>
      <c r="H45" s="190"/>
      <c r="I45" s="190"/>
      <c r="J45" s="7"/>
      <c r="K45" s="7"/>
      <c r="L45" s="47"/>
      <c r="M45" s="48"/>
      <c r="N45" s="49"/>
    </row>
    <row r="46" spans="1:17" ht="15.5" x14ac:dyDescent="0.35">
      <c r="A46" s="7"/>
      <c r="B46" s="7" t="s">
        <v>1</v>
      </c>
      <c r="C46" s="8" t="s">
        <v>2</v>
      </c>
      <c r="D46" s="8" t="s">
        <v>4</v>
      </c>
      <c r="E46" s="13"/>
      <c r="F46" s="7"/>
      <c r="G46" s="7" t="s">
        <v>1</v>
      </c>
      <c r="H46" s="8" t="s">
        <v>2</v>
      </c>
      <c r="I46" s="8" t="s">
        <v>4</v>
      </c>
      <c r="J46" s="13"/>
      <c r="K46" s="7"/>
      <c r="L46" s="7"/>
      <c r="M46" s="8"/>
      <c r="N46" s="8"/>
    </row>
    <row r="47" spans="1:17" ht="15.5" x14ac:dyDescent="0.35">
      <c r="A47" s="7" t="s">
        <v>454</v>
      </c>
      <c r="B47" s="28">
        <v>10</v>
      </c>
      <c r="C47" s="10">
        <f>D40</f>
        <v>0.71018018018018014</v>
      </c>
      <c r="D47" s="11">
        <f>B47*C47</f>
        <v>7.1018018018018019</v>
      </c>
      <c r="E47" s="13"/>
      <c r="F47" s="7" t="s">
        <v>454</v>
      </c>
      <c r="G47" s="28">
        <v>48</v>
      </c>
      <c r="H47" s="10">
        <f>D22</f>
        <v>0.45351351351351354</v>
      </c>
      <c r="I47" s="11">
        <f>G47*H47</f>
        <v>21.76864864864865</v>
      </c>
      <c r="J47" s="13"/>
      <c r="K47" s="7"/>
      <c r="L47" s="13"/>
      <c r="M47" s="15"/>
      <c r="N47" s="74"/>
    </row>
    <row r="48" spans="1:17" ht="15.5" x14ac:dyDescent="0.35">
      <c r="A48" s="7" t="s">
        <v>464</v>
      </c>
      <c r="B48" s="28">
        <v>1</v>
      </c>
      <c r="C48" s="10">
        <f>'Ingredient Cost'!D108</f>
        <v>0.2</v>
      </c>
      <c r="D48" s="10">
        <f>B48*C48</f>
        <v>0.2</v>
      </c>
      <c r="E48" s="13"/>
      <c r="F48" s="7" t="s">
        <v>464</v>
      </c>
      <c r="G48" s="28">
        <v>1</v>
      </c>
      <c r="H48" s="10">
        <f>'Ingredient Cost'!D108</f>
        <v>0.2</v>
      </c>
      <c r="I48" s="10">
        <f>G48*H48</f>
        <v>0.2</v>
      </c>
      <c r="J48" s="13"/>
      <c r="K48" s="7"/>
      <c r="L48" s="13"/>
      <c r="M48" s="15"/>
      <c r="N48" s="15"/>
    </row>
    <row r="49" spans="1:14" ht="15.5" x14ac:dyDescent="0.35">
      <c r="A49" s="7" t="s">
        <v>180</v>
      </c>
      <c r="B49" s="28">
        <v>250</v>
      </c>
      <c r="C49" s="10">
        <f>C39</f>
        <v>20</v>
      </c>
      <c r="D49" s="10">
        <f>C49/B49</f>
        <v>0.08</v>
      </c>
      <c r="E49" s="13"/>
      <c r="F49" s="7" t="s">
        <v>180</v>
      </c>
      <c r="G49" s="28">
        <v>40</v>
      </c>
      <c r="H49" s="10">
        <f>C39</f>
        <v>20</v>
      </c>
      <c r="I49" s="10">
        <f>G49/H49</f>
        <v>2</v>
      </c>
      <c r="J49" s="13"/>
      <c r="K49" s="7"/>
      <c r="L49" s="13"/>
      <c r="M49" s="15"/>
      <c r="N49" s="15"/>
    </row>
    <row r="50" spans="1:14" ht="15.5" x14ac:dyDescent="0.35">
      <c r="A50" s="7" t="s">
        <v>184</v>
      </c>
      <c r="B50" s="28">
        <v>1</v>
      </c>
      <c r="C50" s="10">
        <v>0.01</v>
      </c>
      <c r="D50" s="10">
        <f>B50*C50</f>
        <v>0.01</v>
      </c>
      <c r="E50" s="13"/>
      <c r="F50" s="7" t="s">
        <v>184</v>
      </c>
      <c r="G50" s="28">
        <v>1</v>
      </c>
      <c r="H50" s="10">
        <v>0.01</v>
      </c>
      <c r="I50" s="10">
        <f>G50*H50</f>
        <v>0.01</v>
      </c>
      <c r="J50" s="13"/>
      <c r="K50" s="7"/>
      <c r="L50" s="13"/>
      <c r="M50" s="15"/>
      <c r="N50" s="15"/>
    </row>
    <row r="51" spans="1:14" ht="15.5" x14ac:dyDescent="0.35">
      <c r="A51" s="7" t="s">
        <v>0</v>
      </c>
      <c r="B51" s="13"/>
      <c r="C51" s="15"/>
      <c r="D51" s="74">
        <f>SUM(D47:D50)</f>
        <v>7.3918018018018019</v>
      </c>
      <c r="E51" s="13"/>
      <c r="F51" s="7" t="s">
        <v>0</v>
      </c>
      <c r="G51" s="13"/>
      <c r="H51" s="15"/>
      <c r="I51" s="74">
        <f>SUM(I47:I50)</f>
        <v>23.978648648648651</v>
      </c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D51/9</f>
        <v>0.8213113113113113</v>
      </c>
      <c r="F52" s="7" t="s">
        <v>182</v>
      </c>
      <c r="I52" s="74">
        <f>I51/48</f>
        <v>0.49955518018018025</v>
      </c>
    </row>
    <row r="53" spans="1:14" ht="15.5" x14ac:dyDescent="0.35">
      <c r="A53" s="7"/>
      <c r="D53" s="74"/>
      <c r="F53" s="7"/>
      <c r="I53" s="74"/>
    </row>
    <row r="54" spans="1:14" ht="15.5" x14ac:dyDescent="0.35">
      <c r="A54" s="7"/>
      <c r="D54" s="74"/>
      <c r="F54" s="7"/>
      <c r="I54" s="74"/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topLeftCell="A12" workbookViewId="0">
      <selection activeCell="C21" sqref="C21"/>
    </sheetView>
  </sheetViews>
  <sheetFormatPr defaultRowHeight="12.5" x14ac:dyDescent="0.25"/>
  <cols>
    <col min="1" max="1" width="19.1796875" customWidth="1"/>
    <col min="5" max="5" width="11.453125" customWidth="1"/>
    <col min="6" max="6" width="19.1796875" customWidth="1"/>
    <col min="11" max="11" width="1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146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7" t="s">
        <v>3</v>
      </c>
      <c r="B16" s="7" t="s">
        <v>148</v>
      </c>
      <c r="C16" s="15"/>
      <c r="D16" s="20"/>
      <c r="E16" s="13"/>
      <c r="F16" s="7" t="s">
        <v>3</v>
      </c>
      <c r="G16" s="7" t="s">
        <v>229</v>
      </c>
      <c r="H16" s="15"/>
      <c r="I16" s="20"/>
      <c r="J16" s="22"/>
      <c r="K16" s="7" t="s">
        <v>3</v>
      </c>
      <c r="L16" s="7" t="s">
        <v>230</v>
      </c>
      <c r="M16" s="15"/>
      <c r="N16" s="20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13"/>
      <c r="K17" s="6"/>
      <c r="L17" s="7" t="s">
        <v>1</v>
      </c>
      <c r="M17" s="8" t="s">
        <v>2</v>
      </c>
      <c r="N17" s="9" t="s">
        <v>4</v>
      </c>
      <c r="O17" s="13"/>
      <c r="P17" s="13"/>
      <c r="Q17" s="13"/>
    </row>
    <row r="18" spans="1:17" ht="15.5" x14ac:dyDescent="0.35">
      <c r="A18" s="6" t="s">
        <v>76</v>
      </c>
      <c r="B18" s="28">
        <v>9.0999999999999998E-2</v>
      </c>
      <c r="C18" s="10">
        <f>'Ingredient Cost'!D50</f>
        <v>56.25</v>
      </c>
      <c r="D18" s="11">
        <f>B18*C18</f>
        <v>5.1187499999999995</v>
      </c>
      <c r="E18" s="13"/>
      <c r="F18" s="6" t="s">
        <v>146</v>
      </c>
      <c r="G18" s="28">
        <v>60</v>
      </c>
      <c r="H18" s="10">
        <f>D24</f>
        <v>5.2107645454545457</v>
      </c>
      <c r="I18" s="11">
        <f>G18*H18</f>
        <v>312.64587272727272</v>
      </c>
      <c r="J18" s="13"/>
      <c r="K18" s="6" t="s">
        <v>146</v>
      </c>
      <c r="L18" s="28">
        <v>32</v>
      </c>
      <c r="M18" s="10">
        <f>D24</f>
        <v>5.2107645454545457</v>
      </c>
      <c r="N18" s="11">
        <f>L18*M18</f>
        <v>166.74446545454546</v>
      </c>
      <c r="O18" s="13"/>
      <c r="P18" s="13"/>
      <c r="Q18" s="13"/>
    </row>
    <row r="19" spans="1:17" ht="15.5" x14ac:dyDescent="0.35">
      <c r="A19" s="6" t="s">
        <v>147</v>
      </c>
      <c r="B19" s="28">
        <v>2.4E-2</v>
      </c>
      <c r="C19" s="10">
        <f>'Ingredient Cost'!D9</f>
        <v>1.94</v>
      </c>
      <c r="D19" s="11">
        <f>B19*C19</f>
        <v>4.6559999999999997E-2</v>
      </c>
      <c r="E19" s="13"/>
      <c r="F19" s="7" t="s">
        <v>66</v>
      </c>
      <c r="G19" s="28">
        <v>1</v>
      </c>
      <c r="H19" s="10">
        <f>'Ingredient Cost'!D109</f>
        <v>0.27</v>
      </c>
      <c r="I19" s="10">
        <f>G19*H19</f>
        <v>0.27</v>
      </c>
      <c r="J19" s="13"/>
      <c r="K19" s="7" t="s">
        <v>66</v>
      </c>
      <c r="L19" s="28">
        <v>1</v>
      </c>
      <c r="M19" s="10">
        <f>'Ingredient Cost'!D108</f>
        <v>0.2</v>
      </c>
      <c r="N19" s="10">
        <f>L19*M19</f>
        <v>0.2</v>
      </c>
      <c r="O19" s="13"/>
      <c r="P19" s="13"/>
      <c r="Q19" s="13"/>
    </row>
    <row r="20" spans="1:17" ht="15.5" x14ac:dyDescent="0.35">
      <c r="A20" s="6" t="s">
        <v>140</v>
      </c>
      <c r="B20" s="28">
        <v>330</v>
      </c>
      <c r="C20" s="10">
        <v>15</v>
      </c>
      <c r="D20" s="10">
        <f>C20/B20</f>
        <v>4.5454545454545456E-2</v>
      </c>
      <c r="E20" s="13"/>
      <c r="F20" s="7" t="s">
        <v>94</v>
      </c>
      <c r="G20" s="28">
        <v>2</v>
      </c>
      <c r="H20" s="10">
        <f>'Ingredient Cost'!D86</f>
        <v>0.12</v>
      </c>
      <c r="I20" s="10">
        <f>G20*H20</f>
        <v>0.24</v>
      </c>
      <c r="J20" s="13"/>
      <c r="K20" s="7" t="s">
        <v>94</v>
      </c>
      <c r="L20" s="28">
        <v>2</v>
      </c>
      <c r="M20" s="10">
        <f>'Ingredient Cost'!D86</f>
        <v>0.12</v>
      </c>
      <c r="N20" s="10">
        <f>L20*M20</f>
        <v>0.24</v>
      </c>
      <c r="O20" s="13"/>
      <c r="P20" s="13"/>
      <c r="Q20" s="13"/>
    </row>
    <row r="21" spans="1:17" ht="15.5" x14ac:dyDescent="0.35">
      <c r="A21" s="7"/>
      <c r="B21" s="12"/>
      <c r="C21" s="10"/>
      <c r="D21" s="10"/>
      <c r="E21" s="13"/>
      <c r="F21" s="7" t="s">
        <v>67</v>
      </c>
      <c r="G21" s="28">
        <v>1</v>
      </c>
      <c r="H21" s="10">
        <v>0.01</v>
      </c>
      <c r="I21" s="10">
        <f>H21/G21</f>
        <v>0.01</v>
      </c>
      <c r="J21" s="13"/>
      <c r="K21" s="7" t="s">
        <v>67</v>
      </c>
      <c r="L21" s="28">
        <v>1</v>
      </c>
      <c r="M21" s="10">
        <v>0.01</v>
      </c>
      <c r="N21" s="10">
        <f>M21/L21</f>
        <v>0.01</v>
      </c>
      <c r="O21" s="13"/>
      <c r="P21" s="13"/>
      <c r="Q21" s="13"/>
    </row>
    <row r="22" spans="1:17" ht="15.5" x14ac:dyDescent="0.35">
      <c r="A22" s="6"/>
      <c r="B22" s="12"/>
      <c r="C22" s="10"/>
      <c r="D22" s="10"/>
      <c r="E22" s="13"/>
      <c r="F22" s="7" t="s">
        <v>180</v>
      </c>
      <c r="G22" s="28">
        <v>6</v>
      </c>
      <c r="H22" s="10">
        <v>15</v>
      </c>
      <c r="I22" s="10">
        <f>H22/G22</f>
        <v>2.5</v>
      </c>
      <c r="J22" s="13"/>
      <c r="K22" s="7" t="s">
        <v>180</v>
      </c>
      <c r="L22" s="28">
        <v>8</v>
      </c>
      <c r="M22" s="10">
        <v>15</v>
      </c>
      <c r="N22" s="10">
        <f>M22/L22</f>
        <v>1.875</v>
      </c>
      <c r="O22" s="13"/>
      <c r="P22" s="13"/>
      <c r="Q22" s="13"/>
    </row>
    <row r="23" spans="1:17" ht="15.5" x14ac:dyDescent="0.35">
      <c r="A23" s="13"/>
      <c r="B23" s="13"/>
      <c r="C23" s="15"/>
      <c r="D23" s="14"/>
      <c r="E23" s="13"/>
      <c r="F23" s="7"/>
      <c r="G23" s="12"/>
      <c r="H23" s="10"/>
      <c r="I23" s="10"/>
      <c r="J23" s="13"/>
      <c r="K23" s="7"/>
      <c r="L23" s="12"/>
      <c r="M23" s="10"/>
      <c r="N23" s="10"/>
      <c r="O23" s="13"/>
      <c r="P23" s="13"/>
      <c r="Q23" s="13"/>
    </row>
    <row r="24" spans="1:17" ht="15.5" x14ac:dyDescent="0.35">
      <c r="A24" s="6" t="s">
        <v>0</v>
      </c>
      <c r="B24" s="13"/>
      <c r="C24" s="15"/>
      <c r="D24" s="19">
        <f>SUM(D18:D20)</f>
        <v>5.2107645454545457</v>
      </c>
      <c r="E24" s="13"/>
      <c r="F24" s="13"/>
      <c r="G24" s="13"/>
      <c r="H24" s="15"/>
      <c r="I24" s="14"/>
      <c r="J24" s="13"/>
      <c r="K24" s="13"/>
      <c r="L24" s="13"/>
      <c r="M24" s="15"/>
      <c r="N24" s="14"/>
      <c r="O24" s="13"/>
      <c r="P24" s="13"/>
      <c r="Q24" s="13"/>
    </row>
    <row r="25" spans="1:17" ht="15.5" x14ac:dyDescent="0.35">
      <c r="A25" s="7"/>
      <c r="B25" s="13"/>
      <c r="C25" s="15"/>
      <c r="D25" s="20"/>
      <c r="E25" s="13"/>
      <c r="F25" s="6" t="s">
        <v>0</v>
      </c>
      <c r="G25" s="13"/>
      <c r="H25" s="15"/>
      <c r="I25" s="19">
        <f>SUM(I18:I22)</f>
        <v>315.6658727272727</v>
      </c>
      <c r="J25" s="22"/>
      <c r="K25" s="6" t="s">
        <v>0</v>
      </c>
      <c r="L25" s="13"/>
      <c r="M25" s="15"/>
      <c r="N25" s="19">
        <f>SUM(N18:N22)</f>
        <v>169.06946545454545</v>
      </c>
      <c r="O25" s="13"/>
      <c r="P25" s="13"/>
      <c r="Q25" s="13"/>
    </row>
    <row r="26" spans="1:17" ht="21" customHeight="1" x14ac:dyDescent="0.35">
      <c r="A26" s="7"/>
      <c r="B26" s="250"/>
      <c r="C26" s="250"/>
      <c r="D26" s="250"/>
      <c r="F26" s="99" t="s">
        <v>182</v>
      </c>
      <c r="G26" s="22"/>
      <c r="H26" s="22"/>
      <c r="I26" s="98">
        <f>I25/60</f>
        <v>5.2610978787878784</v>
      </c>
      <c r="K26" s="99" t="s">
        <v>182</v>
      </c>
      <c r="L26" s="22"/>
      <c r="M26" s="22"/>
      <c r="N26" s="98">
        <f>N25/32</f>
        <v>5.2834207954545453</v>
      </c>
    </row>
    <row r="27" spans="1:17" ht="21" customHeight="1" x14ac:dyDescent="0.35">
      <c r="A27" s="7"/>
      <c r="B27" s="83"/>
      <c r="C27" s="83"/>
      <c r="D27" s="83"/>
      <c r="F27" s="100"/>
      <c r="G27" s="22"/>
      <c r="H27" s="22"/>
      <c r="I27" s="98"/>
    </row>
    <row r="28" spans="1:17" ht="34.5" customHeight="1" x14ac:dyDescent="0.35">
      <c r="A28" s="7" t="s">
        <v>3</v>
      </c>
      <c r="B28" s="250" t="s">
        <v>149</v>
      </c>
      <c r="C28" s="250"/>
      <c r="D28" s="250"/>
      <c r="E28" s="13"/>
      <c r="F28" s="7"/>
      <c r="G28" s="3"/>
      <c r="H28" s="4"/>
      <c r="I28" s="4"/>
      <c r="J28" s="13"/>
    </row>
    <row r="29" spans="1:17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7"/>
      <c r="G29" s="13"/>
      <c r="H29" s="15"/>
      <c r="I29" s="74"/>
      <c r="J29" s="13"/>
    </row>
    <row r="30" spans="1:17" ht="15.5" x14ac:dyDescent="0.35">
      <c r="A30" s="6" t="s">
        <v>231</v>
      </c>
      <c r="B30" s="28">
        <v>8</v>
      </c>
      <c r="C30" s="10">
        <f>D24*2</f>
        <v>10.421529090909091</v>
      </c>
      <c r="D30" s="11">
        <f>B30*C30</f>
        <v>83.372232727272731</v>
      </c>
      <c r="E30" s="13"/>
      <c r="F30" s="7"/>
      <c r="G30" s="13"/>
      <c r="H30" s="15"/>
      <c r="I30" s="74"/>
      <c r="J30" s="13"/>
    </row>
    <row r="31" spans="1:17" ht="15.5" x14ac:dyDescent="0.35">
      <c r="A31" s="6" t="s">
        <v>94</v>
      </c>
      <c r="B31" s="28"/>
      <c r="C31" s="10">
        <f>'Ingredient Cost'!D86</f>
        <v>0.12</v>
      </c>
      <c r="D31" s="11">
        <f>C31</f>
        <v>0.12</v>
      </c>
      <c r="E31" s="13"/>
      <c r="F31" s="7"/>
      <c r="G31" s="13"/>
      <c r="H31" s="15"/>
      <c r="I31" s="15"/>
      <c r="J31" s="13"/>
    </row>
    <row r="32" spans="1:17" ht="15.5" x14ac:dyDescent="0.35">
      <c r="A32" s="6" t="s">
        <v>139</v>
      </c>
      <c r="B32" s="28">
        <v>8</v>
      </c>
      <c r="C32" s="10">
        <f>'Ingredient Cost'!D90</f>
        <v>0.22</v>
      </c>
      <c r="D32" s="10">
        <f>B32*C32</f>
        <v>1.76</v>
      </c>
      <c r="E32" s="13"/>
      <c r="F32" s="7"/>
      <c r="G32" s="13"/>
      <c r="H32" s="15"/>
      <c r="I32" s="15"/>
      <c r="J32" s="13"/>
    </row>
    <row r="33" spans="1:10" ht="15.5" x14ac:dyDescent="0.35">
      <c r="A33" s="7" t="s">
        <v>66</v>
      </c>
      <c r="B33" s="28"/>
      <c r="C33" s="10">
        <f>'Ingredient Cost'!D109</f>
        <v>0.27</v>
      </c>
      <c r="D33" s="10">
        <f>C33</f>
        <v>0.27</v>
      </c>
      <c r="E33" s="13"/>
      <c r="F33" s="7"/>
      <c r="G33" s="13"/>
      <c r="H33" s="15"/>
      <c r="I33" s="15"/>
      <c r="J33" s="13"/>
    </row>
    <row r="34" spans="1:10" ht="15.5" x14ac:dyDescent="0.35">
      <c r="A34" s="7" t="s">
        <v>67</v>
      </c>
      <c r="B34" s="28"/>
      <c r="C34" s="10">
        <v>0.05</v>
      </c>
      <c r="D34" s="10">
        <f>C34</f>
        <v>0.05</v>
      </c>
      <c r="E34" s="13"/>
      <c r="F34" s="7"/>
      <c r="G34" s="13"/>
      <c r="H34" s="15"/>
      <c r="I34" s="15"/>
      <c r="J34" s="13"/>
    </row>
    <row r="35" spans="1:10" ht="15.5" x14ac:dyDescent="0.35">
      <c r="A35" s="7" t="s">
        <v>140</v>
      </c>
      <c r="B35" s="28">
        <v>20</v>
      </c>
      <c r="C35" s="10">
        <v>15</v>
      </c>
      <c r="D35" s="10">
        <f>C35/B35</f>
        <v>0.75</v>
      </c>
      <c r="E35" s="13"/>
      <c r="F35" s="7"/>
      <c r="G35" s="13"/>
      <c r="H35" s="15"/>
      <c r="I35" s="15"/>
      <c r="J35" s="13"/>
    </row>
    <row r="36" spans="1:10" ht="15.5" x14ac:dyDescent="0.35">
      <c r="A36" s="7"/>
      <c r="B36" s="12"/>
      <c r="C36" s="10"/>
      <c r="D36" s="10"/>
      <c r="E36" s="13"/>
      <c r="F36" s="7"/>
      <c r="G36" s="13"/>
      <c r="H36" s="15"/>
      <c r="I36" s="15"/>
      <c r="J36" s="13"/>
    </row>
    <row r="37" spans="1:10" ht="15.5" x14ac:dyDescent="0.35">
      <c r="A37" s="6"/>
      <c r="B37" s="12">
        <f>SUM(B30:B32)</f>
        <v>16</v>
      </c>
      <c r="C37" s="10"/>
      <c r="D37" s="10">
        <f>SUM(D30:D32)</f>
        <v>85.252232727272741</v>
      </c>
      <c r="E37" s="13"/>
      <c r="F37" s="7"/>
      <c r="G37" s="13"/>
      <c r="H37" s="15"/>
      <c r="I37" s="15"/>
      <c r="J37" s="13"/>
    </row>
    <row r="38" spans="1:10" ht="13" x14ac:dyDescent="0.3">
      <c r="A38" s="13"/>
      <c r="B38" s="13"/>
      <c r="C38" s="15"/>
      <c r="D38" s="14"/>
      <c r="E38" s="13"/>
      <c r="F38" s="13"/>
      <c r="G38" s="13"/>
      <c r="H38" s="15"/>
      <c r="I38" s="15"/>
      <c r="J38" s="13"/>
    </row>
    <row r="39" spans="1:10" ht="15.5" x14ac:dyDescent="0.35">
      <c r="A39" s="6" t="s">
        <v>0</v>
      </c>
      <c r="B39" s="13"/>
      <c r="C39" s="15"/>
      <c r="D39" s="19">
        <f>D37</f>
        <v>85.252232727272741</v>
      </c>
      <c r="E39" s="13"/>
      <c r="F39" s="7"/>
      <c r="G39" s="13"/>
      <c r="H39" s="15"/>
      <c r="I39" s="20"/>
      <c r="J39" s="13"/>
    </row>
    <row r="40" spans="1:10" ht="15.5" x14ac:dyDescent="0.35">
      <c r="A40" s="7" t="s">
        <v>379</v>
      </c>
      <c r="B40" s="7"/>
      <c r="C40" s="7"/>
      <c r="D40" s="8">
        <f>D39/8</f>
        <v>10.656529090909093</v>
      </c>
    </row>
    <row r="42" spans="1:10" ht="15.5" x14ac:dyDescent="0.35">
      <c r="A42" s="7"/>
    </row>
  </sheetData>
  <mergeCells count="6">
    <mergeCell ref="B28:D28"/>
    <mergeCell ref="A1:Q1"/>
    <mergeCell ref="A2:Q2"/>
    <mergeCell ref="A3:E3"/>
    <mergeCell ref="B4:H14"/>
    <mergeCell ref="B26:D26"/>
  </mergeCells>
  <pageMargins left="0.7" right="0.7" top="0.75" bottom="0.75" header="0.3" footer="0.3"/>
  <pageSetup paperSize="9" orientation="portrait" horizontalDpi="4294967293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topLeftCell="A2" workbookViewId="0">
      <selection activeCell="B31" sqref="B31"/>
    </sheetView>
  </sheetViews>
  <sheetFormatPr defaultRowHeight="12.5" x14ac:dyDescent="0.25"/>
  <cols>
    <col min="1" max="1" width="22.1796875" customWidth="1"/>
    <col min="5" max="5" width="11.453125" customWidth="1"/>
    <col min="6" max="6" width="12.81640625" customWidth="1"/>
    <col min="7" max="7" width="16.8164062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282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7" t="s">
        <v>3</v>
      </c>
      <c r="B16" s="7" t="s">
        <v>285</v>
      </c>
      <c r="C16" s="15"/>
      <c r="D16" s="20"/>
      <c r="E16" s="13"/>
      <c r="F16" s="22"/>
      <c r="G16" s="7" t="s">
        <v>3</v>
      </c>
      <c r="H16" s="7" t="s">
        <v>288</v>
      </c>
      <c r="I16" s="15"/>
      <c r="J16" s="20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6"/>
      <c r="H17" s="7" t="s">
        <v>1</v>
      </c>
      <c r="I17" s="8" t="s">
        <v>2</v>
      </c>
      <c r="J17" s="9" t="s">
        <v>4</v>
      </c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283</v>
      </c>
      <c r="B18" s="28">
        <v>2.5000000000000001E-2</v>
      </c>
      <c r="C18" s="10">
        <v>2.9</v>
      </c>
      <c r="D18" s="11">
        <f>B18*C18</f>
        <v>7.2499999999999995E-2</v>
      </c>
      <c r="E18" s="13"/>
      <c r="F18" s="6"/>
      <c r="G18" s="6" t="s">
        <v>286</v>
      </c>
      <c r="H18" s="28">
        <v>28</v>
      </c>
      <c r="I18" s="10">
        <f>D26</f>
        <v>0.44894000000000001</v>
      </c>
      <c r="J18" s="11">
        <f>H18*I18</f>
        <v>12.570320000000001</v>
      </c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219</v>
      </c>
      <c r="B19" s="28">
        <v>1.7999999999999999E-2</v>
      </c>
      <c r="C19" s="10">
        <f>'Ingredient Cost'!D42</f>
        <v>0.17</v>
      </c>
      <c r="D19" s="11">
        <f>B19*C19</f>
        <v>3.0599999999999998E-3</v>
      </c>
      <c r="E19" s="13"/>
      <c r="F19" s="6"/>
      <c r="G19" s="7" t="s">
        <v>66</v>
      </c>
      <c r="H19" s="28">
        <v>1</v>
      </c>
      <c r="I19" s="10">
        <f>'Ingredient Cost'!D108</f>
        <v>0.2</v>
      </c>
      <c r="J19" s="10">
        <f>H19*I19</f>
        <v>0.2</v>
      </c>
      <c r="K19" s="22"/>
      <c r="L19" s="22"/>
      <c r="M19" s="13"/>
      <c r="N19" s="13"/>
      <c r="O19" s="13"/>
      <c r="P19" s="13"/>
      <c r="Q19" s="13"/>
    </row>
    <row r="20" spans="1:17" ht="15.5" x14ac:dyDescent="0.35">
      <c r="A20" s="7" t="s">
        <v>284</v>
      </c>
      <c r="B20" s="28">
        <v>0.01</v>
      </c>
      <c r="C20" s="10">
        <f>'Ingredient Cost'!D43</f>
        <v>0.31</v>
      </c>
      <c r="D20" s="11">
        <f>B20*C20</f>
        <v>3.0999999999999999E-3</v>
      </c>
      <c r="E20" s="13"/>
      <c r="F20" s="7"/>
      <c r="G20" s="7" t="s">
        <v>94</v>
      </c>
      <c r="H20" s="28">
        <v>2</v>
      </c>
      <c r="I20" s="10">
        <f>'Ingredient Cost'!D86</f>
        <v>0.12</v>
      </c>
      <c r="J20" s="10">
        <f>H20*I20</f>
        <v>0.24</v>
      </c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151</v>
      </c>
      <c r="B21" s="28">
        <v>6.2E-2</v>
      </c>
      <c r="C21" s="10">
        <f>'Ingredient Cost'!D9</f>
        <v>1.94</v>
      </c>
      <c r="D21" s="10">
        <f>B21*C21</f>
        <v>0.12028</v>
      </c>
      <c r="E21" s="13"/>
      <c r="F21" s="7"/>
      <c r="G21" s="7" t="s">
        <v>180</v>
      </c>
      <c r="H21" s="28"/>
      <c r="I21" s="10">
        <v>15</v>
      </c>
      <c r="J21" s="10" t="e">
        <f>I21/H21</f>
        <v>#DIV/0!</v>
      </c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140</v>
      </c>
      <c r="B22" s="28">
        <v>60</v>
      </c>
      <c r="C22" s="10">
        <v>15</v>
      </c>
      <c r="D22" s="10">
        <f t="shared" ref="D22" si="0">C22/B22</f>
        <v>0.25</v>
      </c>
      <c r="E22" s="13"/>
      <c r="F22" s="7"/>
      <c r="G22" s="7"/>
      <c r="H22" s="28"/>
      <c r="I22" s="10"/>
      <c r="J22" s="10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/>
      <c r="B23" s="28"/>
      <c r="C23" s="10"/>
      <c r="D23" s="10"/>
      <c r="E23" s="13"/>
      <c r="F23" s="7"/>
      <c r="G23" s="7"/>
      <c r="H23" s="28"/>
      <c r="I23" s="10"/>
      <c r="J23" s="10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7"/>
      <c r="H24" s="12"/>
      <c r="I24" s="10"/>
      <c r="J24" s="10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3"/>
      <c r="I25" s="15"/>
      <c r="J25" s="14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0.44894000000000001</v>
      </c>
      <c r="E26" s="13"/>
      <c r="F26" s="6"/>
      <c r="G26" s="6" t="s">
        <v>0</v>
      </c>
      <c r="H26" s="13"/>
      <c r="I26" s="15"/>
      <c r="J26" s="19">
        <f>SUM(J18:J20)</f>
        <v>13.01032</v>
      </c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21"/>
      <c r="G27" s="6" t="s">
        <v>182</v>
      </c>
      <c r="H27" s="22"/>
      <c r="I27" s="22"/>
      <c r="J27" s="98">
        <f>J26/48</f>
        <v>0.27104833333333334</v>
      </c>
      <c r="K27" s="22"/>
      <c r="L27" s="22"/>
      <c r="M27" s="13"/>
      <c r="N27" s="13"/>
      <c r="O27" s="13"/>
      <c r="P27" s="13"/>
      <c r="Q27" s="13"/>
    </row>
    <row r="28" spans="1:17" ht="38.25" customHeight="1" x14ac:dyDescent="0.35">
      <c r="A28" s="7" t="s">
        <v>3</v>
      </c>
      <c r="B28" s="7" t="s">
        <v>287</v>
      </c>
      <c r="C28" s="15"/>
      <c r="D28" s="20"/>
      <c r="E28" s="13"/>
      <c r="F28" s="22"/>
      <c r="G28" s="7" t="s">
        <v>3</v>
      </c>
      <c r="H28" s="7" t="s">
        <v>289</v>
      </c>
      <c r="I28" s="15"/>
      <c r="J28" s="20"/>
    </row>
    <row r="29" spans="1:17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6"/>
      <c r="G29" s="6"/>
      <c r="H29" s="7" t="s">
        <v>1</v>
      </c>
      <c r="I29" s="8" t="s">
        <v>2</v>
      </c>
      <c r="J29" s="9" t="s">
        <v>4</v>
      </c>
    </row>
    <row r="30" spans="1:17" ht="15.5" x14ac:dyDescent="0.35">
      <c r="A30" s="6" t="s">
        <v>283</v>
      </c>
      <c r="B30" s="28">
        <v>3.2000000000000001E-2</v>
      </c>
      <c r="C30" s="10"/>
      <c r="D30" s="11">
        <f>B30*C30</f>
        <v>0</v>
      </c>
      <c r="E30" s="13"/>
      <c r="F30" s="6"/>
      <c r="G30" s="6" t="s">
        <v>286</v>
      </c>
      <c r="H30" s="28">
        <v>28</v>
      </c>
      <c r="I30" s="10">
        <f>D37</f>
        <v>0.96599999999999997</v>
      </c>
      <c r="J30" s="11">
        <f>H30*I30</f>
        <v>27.047999999999998</v>
      </c>
    </row>
    <row r="31" spans="1:17" ht="15.5" x14ac:dyDescent="0.35">
      <c r="A31" s="6" t="s">
        <v>219</v>
      </c>
      <c r="B31" s="28">
        <v>234</v>
      </c>
      <c r="C31" s="10"/>
      <c r="D31" s="11">
        <f t="shared" ref="D31:D33" si="1">B31*C31</f>
        <v>0</v>
      </c>
      <c r="E31" s="13"/>
      <c r="F31" s="6"/>
      <c r="G31" s="7" t="s">
        <v>66</v>
      </c>
      <c r="H31" s="28">
        <v>1</v>
      </c>
      <c r="I31" s="10">
        <f>'Ingredient Cost'!D109</f>
        <v>0.27</v>
      </c>
      <c r="J31" s="10">
        <f>H31*I31</f>
        <v>0.27</v>
      </c>
    </row>
    <row r="32" spans="1:17" ht="15.5" x14ac:dyDescent="0.35">
      <c r="A32" s="7" t="s">
        <v>284</v>
      </c>
      <c r="B32" s="28">
        <v>1.2999999999999999E-2</v>
      </c>
      <c r="C32" s="10"/>
      <c r="D32" s="11">
        <f t="shared" si="1"/>
        <v>0</v>
      </c>
      <c r="E32" s="13"/>
      <c r="F32" s="7"/>
      <c r="G32" s="7" t="s">
        <v>94</v>
      </c>
      <c r="H32" s="28">
        <v>2</v>
      </c>
      <c r="I32" s="10">
        <f>'Ingredient Cost'!D97</f>
        <v>0.2</v>
      </c>
      <c r="J32" s="10">
        <f>H32*I32</f>
        <v>0.4</v>
      </c>
    </row>
    <row r="33" spans="1:10" ht="15.5" x14ac:dyDescent="0.35">
      <c r="A33" s="7" t="s">
        <v>151</v>
      </c>
      <c r="B33" s="28">
        <v>0.08</v>
      </c>
      <c r="C33" s="10">
        <f>'Ingredient Cost'!D20</f>
        <v>8.9499999999999993</v>
      </c>
      <c r="D33" s="11">
        <f t="shared" si="1"/>
        <v>0.71599999999999997</v>
      </c>
      <c r="E33" s="13"/>
      <c r="F33" s="7"/>
      <c r="G33" s="7" t="s">
        <v>180</v>
      </c>
      <c r="H33" s="28"/>
      <c r="I33" s="10">
        <v>15</v>
      </c>
      <c r="J33" s="10" t="e">
        <f>I33/H33</f>
        <v>#DIV/0!</v>
      </c>
    </row>
    <row r="34" spans="1:10" ht="15.5" x14ac:dyDescent="0.35">
      <c r="A34" s="7" t="s">
        <v>140</v>
      </c>
      <c r="B34" s="28">
        <v>60</v>
      </c>
      <c r="C34" s="10">
        <v>15</v>
      </c>
      <c r="D34" s="11">
        <f>C34/B34</f>
        <v>0.25</v>
      </c>
      <c r="E34" s="13"/>
      <c r="F34" s="7"/>
      <c r="G34" s="7"/>
      <c r="H34" s="28"/>
      <c r="I34" s="10"/>
      <c r="J34" s="10"/>
    </row>
    <row r="35" spans="1:10" ht="15.5" x14ac:dyDescent="0.35">
      <c r="A35" s="7"/>
      <c r="B35" s="12"/>
      <c r="C35" s="10"/>
      <c r="D35" s="10"/>
      <c r="E35" s="13"/>
      <c r="F35" s="7"/>
      <c r="G35" s="7"/>
      <c r="H35" s="12"/>
      <c r="I35" s="10"/>
      <c r="J35" s="10"/>
    </row>
    <row r="36" spans="1:10" ht="13" x14ac:dyDescent="0.3">
      <c r="A36" s="13"/>
      <c r="B36" s="13"/>
      <c r="C36" s="15"/>
      <c r="D36" s="14"/>
      <c r="E36" s="13"/>
      <c r="F36" s="13"/>
      <c r="G36" s="13"/>
      <c r="H36" s="13"/>
      <c r="I36" s="15"/>
      <c r="J36" s="14"/>
    </row>
    <row r="37" spans="1:10" ht="15.5" x14ac:dyDescent="0.35">
      <c r="A37" s="6" t="s">
        <v>0</v>
      </c>
      <c r="B37" s="13"/>
      <c r="C37" s="15"/>
      <c r="D37" s="19">
        <f>SUM(D30:D34)</f>
        <v>0.96599999999999997</v>
      </c>
      <c r="E37" s="13"/>
      <c r="F37" s="6"/>
      <c r="G37" s="6" t="s">
        <v>0</v>
      </c>
      <c r="H37" s="13"/>
      <c r="I37" s="15"/>
      <c r="J37" s="19">
        <f>SUM(J30:J32)</f>
        <v>27.717999999999996</v>
      </c>
    </row>
    <row r="38" spans="1:10" ht="15.5" x14ac:dyDescent="0.35">
      <c r="A38" s="7"/>
      <c r="B38" s="13"/>
      <c r="C38" s="15"/>
      <c r="D38" s="20"/>
      <c r="E38" s="13"/>
      <c r="F38" s="21"/>
      <c r="G38" s="6" t="s">
        <v>182</v>
      </c>
      <c r="H38" s="22"/>
      <c r="I38" s="22"/>
      <c r="J38" s="98">
        <f>J37/48</f>
        <v>0.5774583333333333</v>
      </c>
    </row>
    <row r="41" spans="1:10" ht="15.5" x14ac:dyDescent="0.35">
      <c r="A41" s="7"/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1"/>
  <sheetViews>
    <sheetView topLeftCell="A10" workbookViewId="0">
      <selection activeCell="C20" sqref="C20"/>
    </sheetView>
  </sheetViews>
  <sheetFormatPr defaultRowHeight="12.5" x14ac:dyDescent="0.25"/>
  <cols>
    <col min="1" max="1" width="22.1796875" customWidth="1"/>
    <col min="5" max="5" width="11.453125" customWidth="1"/>
    <col min="6" max="6" width="12.81640625" customWidth="1"/>
    <col min="7" max="7" width="16.8164062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290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7" t="s">
        <v>3</v>
      </c>
      <c r="B16" s="7" t="s">
        <v>291</v>
      </c>
      <c r="C16" s="15"/>
      <c r="D16" s="20"/>
      <c r="E16" s="13"/>
      <c r="F16" s="22"/>
      <c r="G16" s="7" t="s">
        <v>3</v>
      </c>
      <c r="H16" s="7" t="s">
        <v>292</v>
      </c>
      <c r="I16" s="15"/>
      <c r="J16" s="20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6"/>
      <c r="H17" s="7" t="s">
        <v>1</v>
      </c>
      <c r="I17" s="8" t="s">
        <v>2</v>
      </c>
      <c r="J17" s="9" t="s">
        <v>4</v>
      </c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63</v>
      </c>
      <c r="B18" s="28">
        <v>2.5000000000000001E-2</v>
      </c>
      <c r="C18" s="10">
        <v>6</v>
      </c>
      <c r="D18" s="11">
        <f>B18*C18</f>
        <v>0.15000000000000002</v>
      </c>
      <c r="E18" s="13"/>
      <c r="F18" s="6"/>
      <c r="G18" s="6" t="s">
        <v>286</v>
      </c>
      <c r="H18" s="28">
        <v>28</v>
      </c>
      <c r="I18" s="10">
        <f>D26</f>
        <v>0.52028000000000008</v>
      </c>
      <c r="J18" s="11">
        <f>H18*I18</f>
        <v>14.567840000000002</v>
      </c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219</v>
      </c>
      <c r="B19" s="28">
        <v>1.7999999999999999E-2</v>
      </c>
      <c r="C19" s="10"/>
      <c r="D19" s="11">
        <f>B19*C19</f>
        <v>0</v>
      </c>
      <c r="E19" s="13"/>
      <c r="F19" s="6"/>
      <c r="G19" s="7" t="s">
        <v>66</v>
      </c>
      <c r="H19" s="28">
        <v>1</v>
      </c>
      <c r="I19" s="10">
        <f>'Ingredient Cost'!D108</f>
        <v>0.2</v>
      </c>
      <c r="J19" s="10">
        <f>H19*I19</f>
        <v>0.2</v>
      </c>
      <c r="K19" s="22"/>
      <c r="L19" s="22"/>
      <c r="M19" s="13"/>
      <c r="N19" s="13"/>
      <c r="O19" s="13"/>
      <c r="P19" s="13"/>
      <c r="Q19" s="13"/>
    </row>
    <row r="20" spans="1:17" ht="15.5" x14ac:dyDescent="0.35">
      <c r="A20" s="7" t="s">
        <v>284</v>
      </c>
      <c r="B20" s="28">
        <v>0.01</v>
      </c>
      <c r="C20" s="10"/>
      <c r="D20" s="10">
        <f>C20/B20</f>
        <v>0</v>
      </c>
      <c r="E20" s="13"/>
      <c r="F20" s="7"/>
      <c r="G20" s="7" t="s">
        <v>94</v>
      </c>
      <c r="H20" s="28">
        <v>2</v>
      </c>
      <c r="I20" s="10">
        <f>'Ingredient Cost'!D86</f>
        <v>0.12</v>
      </c>
      <c r="J20" s="10">
        <f>H20*I20</f>
        <v>0.24</v>
      </c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151</v>
      </c>
      <c r="B21" s="28">
        <v>6.2E-2</v>
      </c>
      <c r="C21" s="10">
        <f>'Ingredient Cost'!D9</f>
        <v>1.94</v>
      </c>
      <c r="D21" s="10">
        <f>B21*C21</f>
        <v>0.12028</v>
      </c>
      <c r="E21" s="13"/>
      <c r="F21" s="7"/>
      <c r="G21" s="7" t="s">
        <v>180</v>
      </c>
      <c r="H21" s="28"/>
      <c r="I21" s="10">
        <v>15</v>
      </c>
      <c r="J21" s="10" t="e">
        <f>I21/H21</f>
        <v>#DIV/0!</v>
      </c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140</v>
      </c>
      <c r="B22" s="28">
        <v>60</v>
      </c>
      <c r="C22" s="10">
        <v>15</v>
      </c>
      <c r="D22" s="10">
        <f t="shared" ref="D22" si="0">C22/B22</f>
        <v>0.25</v>
      </c>
      <c r="E22" s="13"/>
      <c r="F22" s="7"/>
      <c r="G22" s="7"/>
      <c r="H22" s="28"/>
      <c r="I22" s="10"/>
      <c r="J22" s="10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/>
      <c r="B23" s="28"/>
      <c r="C23" s="10"/>
      <c r="D23" s="10"/>
      <c r="E23" s="13"/>
      <c r="F23" s="7"/>
      <c r="G23" s="7"/>
      <c r="H23" s="28"/>
      <c r="I23" s="10"/>
      <c r="J23" s="10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7"/>
      <c r="H24" s="12"/>
      <c r="I24" s="10"/>
      <c r="J24" s="10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3"/>
      <c r="I25" s="15"/>
      <c r="J25" s="14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0.52028000000000008</v>
      </c>
      <c r="E26" s="13"/>
      <c r="F26" s="6"/>
      <c r="G26" s="6" t="s">
        <v>0</v>
      </c>
      <c r="H26" s="13"/>
      <c r="I26" s="15"/>
      <c r="J26" s="19">
        <f>SUM(J18:J20)</f>
        <v>15.007840000000002</v>
      </c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21"/>
      <c r="G27" s="6" t="s">
        <v>182</v>
      </c>
      <c r="H27" s="22"/>
      <c r="I27" s="22"/>
      <c r="J27" s="98">
        <f>J26/48</f>
        <v>0.31266333333333335</v>
      </c>
      <c r="K27" s="22"/>
      <c r="L27" s="22"/>
      <c r="M27" s="13"/>
      <c r="N27" s="13"/>
      <c r="O27" s="13"/>
      <c r="P27" s="13"/>
      <c r="Q27" s="13"/>
    </row>
    <row r="28" spans="1:17" ht="38.25" customHeight="1" x14ac:dyDescent="0.35">
      <c r="A28" s="7"/>
      <c r="B28" s="7"/>
      <c r="C28" s="15"/>
      <c r="D28" s="20"/>
      <c r="E28" s="13"/>
      <c r="F28" s="22"/>
      <c r="G28" s="7"/>
      <c r="H28" s="7"/>
      <c r="I28" s="15"/>
      <c r="J28" s="20"/>
    </row>
    <row r="29" spans="1:17" ht="15.5" x14ac:dyDescent="0.35">
      <c r="A29" s="7"/>
      <c r="B29" s="7"/>
      <c r="C29" s="8"/>
      <c r="D29" s="8"/>
      <c r="E29" s="13"/>
      <c r="F29" s="7"/>
      <c r="G29" s="7"/>
      <c r="H29" s="7"/>
      <c r="I29" s="8"/>
      <c r="J29" s="8"/>
    </row>
    <row r="30" spans="1:17" ht="15.5" x14ac:dyDescent="0.35">
      <c r="A30" s="7"/>
      <c r="B30" s="13"/>
      <c r="C30" s="15"/>
      <c r="D30" s="74"/>
      <c r="E30" s="13"/>
      <c r="F30" s="7"/>
      <c r="G30" s="7"/>
      <c r="H30" s="13"/>
      <c r="I30" s="15"/>
      <c r="J30" s="74"/>
    </row>
    <row r="31" spans="1:17" ht="15.5" x14ac:dyDescent="0.35">
      <c r="A31" s="7"/>
      <c r="B31" s="13"/>
      <c r="C31" s="15"/>
      <c r="D31" s="74"/>
      <c r="E31" s="13"/>
      <c r="F31" s="7"/>
      <c r="G31" s="7"/>
      <c r="H31" s="13"/>
      <c r="I31" s="15"/>
      <c r="J31" s="15"/>
    </row>
    <row r="32" spans="1:17" ht="15.5" x14ac:dyDescent="0.35">
      <c r="A32" s="7"/>
      <c r="B32" s="13"/>
      <c r="C32" s="15"/>
      <c r="D32" s="74"/>
      <c r="E32" s="13"/>
      <c r="F32" s="7"/>
      <c r="G32" s="7"/>
      <c r="H32" s="13"/>
      <c r="I32" s="15"/>
      <c r="J32" s="15"/>
    </row>
    <row r="33" spans="1:10" ht="15.5" x14ac:dyDescent="0.35">
      <c r="A33" s="7"/>
      <c r="B33" s="13"/>
      <c r="C33" s="15"/>
      <c r="D33" s="74"/>
      <c r="E33" s="13"/>
      <c r="F33" s="7"/>
      <c r="G33" s="7"/>
      <c r="H33" s="13"/>
      <c r="I33" s="15"/>
      <c r="J33" s="15"/>
    </row>
    <row r="34" spans="1:10" ht="15.5" x14ac:dyDescent="0.35">
      <c r="A34" s="7"/>
      <c r="B34" s="13"/>
      <c r="C34" s="15"/>
      <c r="D34" s="74"/>
      <c r="E34" s="13"/>
      <c r="F34" s="7"/>
      <c r="G34" s="7"/>
      <c r="H34" s="13"/>
      <c r="I34" s="15"/>
      <c r="J34" s="15"/>
    </row>
    <row r="35" spans="1:10" ht="15.5" x14ac:dyDescent="0.35">
      <c r="A35" s="7"/>
      <c r="B35" s="13"/>
      <c r="C35" s="15"/>
      <c r="D35" s="15"/>
      <c r="E35" s="13"/>
      <c r="F35" s="7"/>
      <c r="G35" s="7"/>
      <c r="H35" s="13"/>
      <c r="I35" s="15"/>
      <c r="J35" s="15"/>
    </row>
    <row r="36" spans="1:10" ht="13" x14ac:dyDescent="0.3">
      <c r="A36" s="13"/>
      <c r="B36" s="13"/>
      <c r="C36" s="15"/>
      <c r="D36" s="15"/>
      <c r="E36" s="13"/>
      <c r="F36" s="13"/>
      <c r="G36" s="13"/>
      <c r="H36" s="13"/>
      <c r="I36" s="15"/>
      <c r="J36" s="15"/>
    </row>
    <row r="37" spans="1:10" ht="15.5" x14ac:dyDescent="0.35">
      <c r="A37" s="7"/>
      <c r="B37" s="13"/>
      <c r="C37" s="15"/>
      <c r="D37" s="20"/>
      <c r="E37" s="13"/>
      <c r="F37" s="7"/>
      <c r="G37" s="7"/>
      <c r="H37" s="13"/>
      <c r="I37" s="15"/>
      <c r="J37" s="20"/>
    </row>
    <row r="38" spans="1:10" ht="15.5" x14ac:dyDescent="0.35">
      <c r="A38" s="7"/>
      <c r="B38" s="13"/>
      <c r="C38" s="15"/>
      <c r="D38" s="20"/>
      <c r="E38" s="13"/>
      <c r="F38" s="22"/>
      <c r="G38" s="7"/>
      <c r="H38" s="22"/>
      <c r="I38" s="22"/>
      <c r="J38" s="98"/>
    </row>
    <row r="41" spans="1:10" ht="15.5" x14ac:dyDescent="0.35">
      <c r="A41" s="7"/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1"/>
  <sheetViews>
    <sheetView topLeftCell="A2" workbookViewId="0">
      <selection activeCell="C20" sqref="C20"/>
    </sheetView>
  </sheetViews>
  <sheetFormatPr defaultRowHeight="12.5" x14ac:dyDescent="0.25"/>
  <cols>
    <col min="1" max="1" width="22.1796875" customWidth="1"/>
    <col min="5" max="5" width="11.453125" customWidth="1"/>
    <col min="6" max="6" width="12.81640625" customWidth="1"/>
    <col min="7" max="7" width="16.8164062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290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7" t="s">
        <v>3</v>
      </c>
      <c r="B16" s="7" t="s">
        <v>291</v>
      </c>
      <c r="C16" s="15"/>
      <c r="D16" s="20"/>
      <c r="E16" s="13"/>
      <c r="F16" s="22"/>
      <c r="G16" s="7" t="s">
        <v>3</v>
      </c>
      <c r="H16" s="7" t="s">
        <v>292</v>
      </c>
      <c r="I16" s="15"/>
      <c r="J16" s="20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6"/>
      <c r="H17" s="7" t="s">
        <v>1</v>
      </c>
      <c r="I17" s="8" t="s">
        <v>2</v>
      </c>
      <c r="J17" s="9" t="s">
        <v>4</v>
      </c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293</v>
      </c>
      <c r="B18" s="28">
        <v>2.5000000000000001E-2</v>
      </c>
      <c r="C18" s="10">
        <f>'Ingredient Cost'!D34</f>
        <v>5.27</v>
      </c>
      <c r="D18" s="11">
        <f>B18*C18</f>
        <v>0.13175000000000001</v>
      </c>
      <c r="E18" s="13"/>
      <c r="F18" s="6"/>
      <c r="G18" s="6" t="s">
        <v>286</v>
      </c>
      <c r="H18" s="28">
        <v>28</v>
      </c>
      <c r="I18" s="10">
        <f>D26</f>
        <v>0.50202999999999998</v>
      </c>
      <c r="J18" s="11">
        <f>H18*I18</f>
        <v>14.056839999999999</v>
      </c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219</v>
      </c>
      <c r="B19" s="28">
        <v>1.7999999999999999E-2</v>
      </c>
      <c r="C19" s="10"/>
      <c r="D19" s="11">
        <f>B19*C19</f>
        <v>0</v>
      </c>
      <c r="E19" s="13"/>
      <c r="F19" s="6"/>
      <c r="G19" s="7" t="s">
        <v>66</v>
      </c>
      <c r="H19" s="28">
        <v>1</v>
      </c>
      <c r="I19" s="10">
        <f>'Ingredient Cost'!D108</f>
        <v>0.2</v>
      </c>
      <c r="J19" s="10">
        <f>H19*I19</f>
        <v>0.2</v>
      </c>
      <c r="K19" s="22"/>
      <c r="L19" s="22"/>
      <c r="M19" s="13"/>
      <c r="N19" s="13"/>
      <c r="O19" s="13"/>
      <c r="P19" s="13"/>
      <c r="Q19" s="13"/>
    </row>
    <row r="20" spans="1:17" ht="15.5" x14ac:dyDescent="0.35">
      <c r="A20" s="7" t="s">
        <v>284</v>
      </c>
      <c r="B20" s="28">
        <v>0.01</v>
      </c>
      <c r="C20" s="10"/>
      <c r="D20" s="10">
        <f>C20/B20</f>
        <v>0</v>
      </c>
      <c r="E20" s="13"/>
      <c r="F20" s="7"/>
      <c r="G20" s="7" t="s">
        <v>94</v>
      </c>
      <c r="H20" s="28">
        <v>2</v>
      </c>
      <c r="I20" s="10">
        <f>'Ingredient Cost'!D86</f>
        <v>0.12</v>
      </c>
      <c r="J20" s="10">
        <f>H20*I20</f>
        <v>0.24</v>
      </c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151</v>
      </c>
      <c r="B21" s="28">
        <v>6.2E-2</v>
      </c>
      <c r="C21" s="10">
        <f>'Ingredient Cost'!D9</f>
        <v>1.94</v>
      </c>
      <c r="D21" s="10">
        <f>B21*C21</f>
        <v>0.12028</v>
      </c>
      <c r="E21" s="13"/>
      <c r="F21" s="7"/>
      <c r="G21" s="7" t="s">
        <v>180</v>
      </c>
      <c r="H21" s="28"/>
      <c r="I21" s="10">
        <v>15</v>
      </c>
      <c r="J21" s="10" t="e">
        <f>I21/H21</f>
        <v>#DIV/0!</v>
      </c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140</v>
      </c>
      <c r="B22" s="28">
        <v>60</v>
      </c>
      <c r="C22" s="10">
        <v>15</v>
      </c>
      <c r="D22" s="10">
        <f t="shared" ref="D22" si="0">C22/B22</f>
        <v>0.25</v>
      </c>
      <c r="E22" s="13"/>
      <c r="F22" s="7"/>
      <c r="G22" s="7"/>
      <c r="H22" s="28"/>
      <c r="I22" s="10"/>
      <c r="J22" s="10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/>
      <c r="B23" s="28"/>
      <c r="C23" s="10"/>
      <c r="D23" s="10"/>
      <c r="E23" s="13"/>
      <c r="F23" s="7"/>
      <c r="G23" s="7"/>
      <c r="H23" s="28"/>
      <c r="I23" s="10"/>
      <c r="J23" s="10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7"/>
      <c r="H24" s="12"/>
      <c r="I24" s="10"/>
      <c r="J24" s="10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3"/>
      <c r="I25" s="15"/>
      <c r="J25" s="14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SUM(D18:D22)</f>
        <v>0.50202999999999998</v>
      </c>
      <c r="E26" s="13"/>
      <c r="F26" s="6"/>
      <c r="G26" s="6" t="s">
        <v>0</v>
      </c>
      <c r="H26" s="13"/>
      <c r="I26" s="15"/>
      <c r="J26" s="19">
        <f>SUM(J18:J20)</f>
        <v>14.496839999999999</v>
      </c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21"/>
      <c r="G27" s="6" t="s">
        <v>182</v>
      </c>
      <c r="H27" s="22"/>
      <c r="I27" s="22"/>
      <c r="J27" s="98">
        <f>J26/48</f>
        <v>0.30201749999999999</v>
      </c>
      <c r="K27" s="22"/>
      <c r="L27" s="22"/>
      <c r="M27" s="13"/>
      <c r="N27" s="13"/>
      <c r="O27" s="13"/>
      <c r="P27" s="13"/>
      <c r="Q27" s="13"/>
    </row>
    <row r="28" spans="1:17" ht="38.25" customHeight="1" x14ac:dyDescent="0.35">
      <c r="A28" s="7"/>
      <c r="B28" s="7"/>
      <c r="C28" s="15"/>
      <c r="D28" s="20"/>
      <c r="E28" s="13"/>
      <c r="F28" s="22"/>
      <c r="G28" s="7"/>
      <c r="H28" s="7"/>
      <c r="I28" s="15"/>
      <c r="J28" s="20"/>
    </row>
    <row r="29" spans="1:17" ht="15.5" x14ac:dyDescent="0.35">
      <c r="A29" s="7"/>
      <c r="B29" s="7"/>
      <c r="C29" s="8"/>
      <c r="D29" s="8"/>
      <c r="E29" s="13"/>
      <c r="F29" s="7"/>
      <c r="G29" s="7"/>
      <c r="H29" s="7"/>
      <c r="I29" s="8"/>
      <c r="J29" s="8"/>
    </row>
    <row r="30" spans="1:17" ht="15.5" x14ac:dyDescent="0.35">
      <c r="A30" s="7"/>
      <c r="B30" s="13"/>
      <c r="C30" s="15"/>
      <c r="D30" s="74"/>
      <c r="E30" s="13"/>
      <c r="F30" s="7"/>
      <c r="G30" s="7"/>
      <c r="H30" s="13"/>
      <c r="I30" s="15"/>
      <c r="J30" s="74"/>
    </row>
    <row r="31" spans="1:17" ht="15.5" x14ac:dyDescent="0.35">
      <c r="A31" s="7"/>
      <c r="B31" s="13"/>
      <c r="C31" s="15"/>
      <c r="D31" s="74"/>
      <c r="E31" s="13"/>
      <c r="F31" s="7"/>
      <c r="G31" s="7"/>
      <c r="H31" s="13"/>
      <c r="I31" s="15"/>
      <c r="J31" s="15"/>
    </row>
    <row r="32" spans="1:17" ht="15.5" x14ac:dyDescent="0.35">
      <c r="A32" s="7"/>
      <c r="B32" s="13"/>
      <c r="C32" s="15"/>
      <c r="D32" s="74"/>
      <c r="E32" s="13"/>
      <c r="F32" s="7"/>
      <c r="G32" s="7"/>
      <c r="H32" s="13"/>
      <c r="I32" s="15"/>
      <c r="J32" s="15"/>
    </row>
    <row r="33" spans="1:10" ht="15.5" x14ac:dyDescent="0.35">
      <c r="A33" s="7"/>
      <c r="B33" s="13"/>
      <c r="C33" s="15"/>
      <c r="D33" s="74"/>
      <c r="E33" s="13"/>
      <c r="F33" s="7"/>
      <c r="G33" s="7"/>
      <c r="H33" s="13"/>
      <c r="I33" s="15"/>
      <c r="J33" s="15"/>
    </row>
    <row r="34" spans="1:10" ht="15.5" x14ac:dyDescent="0.35">
      <c r="A34" s="7"/>
      <c r="B34" s="13"/>
      <c r="C34" s="15"/>
      <c r="D34" s="74"/>
      <c r="E34" s="13"/>
      <c r="F34" s="7"/>
      <c r="G34" s="7"/>
      <c r="H34" s="13"/>
      <c r="I34" s="15"/>
      <c r="J34" s="15"/>
    </row>
    <row r="35" spans="1:10" ht="15.5" x14ac:dyDescent="0.35">
      <c r="A35" s="7"/>
      <c r="B35" s="13"/>
      <c r="C35" s="15"/>
      <c r="D35" s="15"/>
      <c r="E35" s="13"/>
      <c r="F35" s="7"/>
      <c r="G35" s="7"/>
      <c r="H35" s="13"/>
      <c r="I35" s="15"/>
      <c r="J35" s="15"/>
    </row>
    <row r="36" spans="1:10" ht="13" x14ac:dyDescent="0.3">
      <c r="A36" s="13"/>
      <c r="B36" s="13"/>
      <c r="C36" s="15"/>
      <c r="D36" s="15"/>
      <c r="E36" s="13"/>
      <c r="F36" s="13"/>
      <c r="G36" s="13"/>
      <c r="H36" s="13"/>
      <c r="I36" s="15"/>
      <c r="J36" s="15"/>
    </row>
    <row r="37" spans="1:10" ht="15.5" x14ac:dyDescent="0.35">
      <c r="A37" s="7"/>
      <c r="B37" s="13"/>
      <c r="C37" s="15"/>
      <c r="D37" s="20"/>
      <c r="E37" s="13"/>
      <c r="F37" s="7"/>
      <c r="G37" s="7"/>
      <c r="H37" s="13"/>
      <c r="I37" s="15"/>
      <c r="J37" s="20"/>
    </row>
    <row r="38" spans="1:10" ht="15.5" x14ac:dyDescent="0.35">
      <c r="A38" s="7"/>
      <c r="B38" s="13"/>
      <c r="C38" s="15"/>
      <c r="D38" s="20"/>
      <c r="E38" s="13"/>
      <c r="F38" s="22"/>
      <c r="G38" s="7"/>
      <c r="H38" s="22"/>
      <c r="I38" s="22"/>
      <c r="J38" s="98"/>
    </row>
    <row r="41" spans="1:10" ht="15.5" x14ac:dyDescent="0.35">
      <c r="A41" s="7"/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B988-70FC-4C15-B9E0-57E3E0E912BE}">
  <sheetPr>
    <tabColor rgb="FF92D050"/>
  </sheetPr>
  <dimension ref="A1:S97"/>
  <sheetViews>
    <sheetView showGridLines="0" workbookViewId="0">
      <selection activeCell="A2" sqref="A2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  <col min="18" max="18" width="14.08984375" customWidth="1"/>
    <col min="19" max="19" width="11.0898437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80" t="s">
        <v>564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9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9" ht="15.5" x14ac:dyDescent="0.35">
      <c r="A18" s="193" t="s">
        <v>209</v>
      </c>
      <c r="B18" s="193"/>
      <c r="C18" s="194"/>
      <c r="D18" s="194"/>
      <c r="E18" s="153"/>
      <c r="F18" s="190" t="s">
        <v>208</v>
      </c>
      <c r="G18" s="159"/>
      <c r="H18" s="161"/>
      <c r="I18" s="162"/>
      <c r="J18" s="22"/>
      <c r="K18" s="190" t="s">
        <v>565</v>
      </c>
      <c r="L18" s="190"/>
      <c r="M18" s="190"/>
      <c r="N18" s="190"/>
      <c r="O18" s="13"/>
      <c r="P18" s="190" t="s">
        <v>583</v>
      </c>
      <c r="Q18" s="190"/>
      <c r="R18" s="190"/>
      <c r="S18" s="190"/>
    </row>
    <row r="19" spans="1:19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7"/>
      <c r="L19" s="7" t="s">
        <v>1</v>
      </c>
      <c r="M19" s="8" t="s">
        <v>2</v>
      </c>
      <c r="N19" s="194" t="s">
        <v>4</v>
      </c>
      <c r="O19" s="13"/>
      <c r="P19" s="13"/>
      <c r="Q19" s="116" t="s">
        <v>2</v>
      </c>
      <c r="R19" s="116" t="s">
        <v>584</v>
      </c>
      <c r="S19" s="116" t="s">
        <v>585</v>
      </c>
    </row>
    <row r="20" spans="1:19" ht="15.5" x14ac:dyDescent="0.35">
      <c r="A20" s="6" t="s">
        <v>15</v>
      </c>
      <c r="B20" s="28">
        <v>5</v>
      </c>
      <c r="C20" s="10">
        <f>'Ingredient Cost'!$D$8</f>
        <v>0.54</v>
      </c>
      <c r="D20" s="11">
        <f>B20*C20</f>
        <v>2.7</v>
      </c>
      <c r="E20" s="152"/>
      <c r="F20" s="7" t="s">
        <v>208</v>
      </c>
      <c r="G20" s="28">
        <v>14.25</v>
      </c>
      <c r="H20" s="10">
        <f>'Ingredient Cost'!$D$47</f>
        <v>21.25</v>
      </c>
      <c r="I20" s="10">
        <f t="shared" ref="I20" si="0">G20*H20</f>
        <v>302.8125</v>
      </c>
      <c r="J20" s="21"/>
      <c r="K20" s="171" t="s">
        <v>10</v>
      </c>
      <c r="L20" s="170">
        <v>2.5</v>
      </c>
      <c r="M20" s="10"/>
      <c r="N20" s="220"/>
      <c r="O20" s="13"/>
      <c r="P20" s="116" t="s">
        <v>30</v>
      </c>
      <c r="Q20" s="12">
        <v>52.5</v>
      </c>
      <c r="R20" s="12">
        <v>259</v>
      </c>
      <c r="S20" s="12">
        <f>Q20/R20</f>
        <v>0.20270270270270271</v>
      </c>
    </row>
    <row r="21" spans="1:19" ht="15.5" x14ac:dyDescent="0.35">
      <c r="A21" s="6" t="s">
        <v>205</v>
      </c>
      <c r="B21" s="28">
        <v>1.7</v>
      </c>
      <c r="C21" s="10">
        <f>'Ingredient Cost'!$D$10</f>
        <v>11</v>
      </c>
      <c r="D21" s="11">
        <f>B21*C21</f>
        <v>18.7</v>
      </c>
      <c r="E21" s="158"/>
      <c r="F21" s="171" t="s">
        <v>209</v>
      </c>
      <c r="G21" s="170">
        <v>0.4</v>
      </c>
      <c r="H21" s="10">
        <f>$D$25</f>
        <v>43.986999999999995</v>
      </c>
      <c r="I21" s="11">
        <f>G21*H21</f>
        <v>17.594799999999999</v>
      </c>
      <c r="J21" s="158"/>
      <c r="K21" s="171" t="s">
        <v>13</v>
      </c>
      <c r="L21" s="170">
        <v>4</v>
      </c>
      <c r="M21" s="10">
        <f>'Ingredient Cost'!$D$6</f>
        <v>2.06</v>
      </c>
      <c r="N21" s="11">
        <f>L21*M21</f>
        <v>8.24</v>
      </c>
      <c r="O21" s="13"/>
      <c r="P21" s="116" t="s">
        <v>166</v>
      </c>
      <c r="Q21" s="12">
        <v>52.5</v>
      </c>
      <c r="R21" s="12">
        <v>101</v>
      </c>
      <c r="S21" s="12">
        <f>Q21/R21</f>
        <v>0.51980198019801982</v>
      </c>
    </row>
    <row r="22" spans="1:19" ht="15.5" x14ac:dyDescent="0.35">
      <c r="A22" s="6" t="s">
        <v>47</v>
      </c>
      <c r="B22" s="28">
        <v>1.1000000000000001</v>
      </c>
      <c r="C22" s="10">
        <f>'Ingredient Cost'!$D$79</f>
        <v>17.850000000000001</v>
      </c>
      <c r="D22" s="10">
        <f>B22*C22</f>
        <v>19.635000000000002</v>
      </c>
      <c r="E22" s="158"/>
      <c r="F22" s="22"/>
      <c r="G22" s="91"/>
      <c r="H22" s="91"/>
      <c r="I22" s="91"/>
      <c r="J22" s="158"/>
      <c r="K22" s="171" t="s">
        <v>14</v>
      </c>
      <c r="L22" s="170">
        <v>8</v>
      </c>
      <c r="M22" s="10">
        <f>'Ingredient Cost'!$D$7</f>
        <v>0.62</v>
      </c>
      <c r="N22" s="10">
        <f>L22*M22</f>
        <v>4.96</v>
      </c>
      <c r="O22" s="13"/>
      <c r="P22" s="116" t="s">
        <v>586</v>
      </c>
      <c r="Q22" s="12">
        <v>52.5</v>
      </c>
      <c r="R22" s="12">
        <v>50</v>
      </c>
      <c r="S22" s="12">
        <f>Q22/R22</f>
        <v>1.05</v>
      </c>
    </row>
    <row r="23" spans="1:19" ht="15.5" x14ac:dyDescent="0.35">
      <c r="A23" s="7" t="s">
        <v>206</v>
      </c>
      <c r="B23" s="28">
        <v>0.08</v>
      </c>
      <c r="C23" s="10">
        <f>'Ingredient Cost'!$D$25</f>
        <v>36.9</v>
      </c>
      <c r="D23" s="10">
        <f t="shared" ref="D23:D24" si="1">B23*C23</f>
        <v>2.952</v>
      </c>
      <c r="E23" s="158"/>
      <c r="F23" s="22"/>
      <c r="G23" s="91"/>
      <c r="H23" s="91"/>
      <c r="I23" s="91"/>
      <c r="J23" s="158"/>
      <c r="K23" s="171" t="s">
        <v>15</v>
      </c>
      <c r="L23" s="170">
        <v>0.15</v>
      </c>
      <c r="M23" s="10">
        <f>'Ingredient Cost'!$D$8</f>
        <v>0.54</v>
      </c>
      <c r="N23" s="10">
        <f>L23*M23</f>
        <v>8.1000000000000003E-2</v>
      </c>
      <c r="O23" s="13"/>
      <c r="P23" s="13"/>
      <c r="Q23" s="13"/>
      <c r="R23" s="13"/>
    </row>
    <row r="24" spans="1:19" ht="15.5" x14ac:dyDescent="0.35">
      <c r="A24" s="7" t="s">
        <v>207</v>
      </c>
      <c r="B24" s="28">
        <v>0.08</v>
      </c>
      <c r="C24" s="10">
        <f>'Ingredient Cost'!$D$23</f>
        <v>9.3699999999999992</v>
      </c>
      <c r="D24" s="10">
        <f t="shared" si="1"/>
        <v>0.74959999999999993</v>
      </c>
      <c r="E24" s="13"/>
      <c r="F24" s="22"/>
      <c r="G24" s="91"/>
      <c r="H24" s="91"/>
      <c r="I24" s="91"/>
      <c r="J24" s="158"/>
      <c r="K24" s="171"/>
      <c r="L24" s="221"/>
      <c r="M24" s="10"/>
      <c r="N24" s="10"/>
      <c r="O24" s="13"/>
      <c r="P24" s="13"/>
      <c r="Q24" s="13"/>
    </row>
    <row r="25" spans="1:19" ht="15.5" x14ac:dyDescent="0.35">
      <c r="A25" s="171" t="s">
        <v>28</v>
      </c>
      <c r="B25" s="12">
        <f>SUM(B20:B24)</f>
        <v>7.9600000000000009</v>
      </c>
      <c r="C25" s="10"/>
      <c r="D25" s="218">
        <f>SUM(D20:D23)</f>
        <v>43.986999999999995</v>
      </c>
      <c r="E25" s="13"/>
      <c r="F25" s="171" t="s">
        <v>28</v>
      </c>
      <c r="G25" s="12">
        <f>SUM(G20:G24)</f>
        <v>14.65</v>
      </c>
      <c r="H25" s="10"/>
      <c r="I25" s="10">
        <f>SUM(I20:I23)</f>
        <v>320.40730000000002</v>
      </c>
      <c r="J25" s="13"/>
      <c r="K25" s="171" t="s">
        <v>28</v>
      </c>
      <c r="L25" s="221">
        <f>L20+L21+L22+L23</f>
        <v>14.65</v>
      </c>
      <c r="M25" s="10"/>
      <c r="N25" s="10">
        <f>SUM(N20:N23)</f>
        <v>13.280999999999999</v>
      </c>
      <c r="O25" s="13"/>
      <c r="P25" s="13"/>
      <c r="Q25" s="13"/>
    </row>
    <row r="26" spans="1:19" ht="13" x14ac:dyDescent="0.3">
      <c r="A26" s="13"/>
      <c r="B26" s="13"/>
      <c r="C26" s="15"/>
      <c r="D26" s="219"/>
      <c r="E26" s="13"/>
      <c r="F26" s="22"/>
      <c r="G26" s="22"/>
      <c r="H26" s="22"/>
      <c r="I26" s="22"/>
      <c r="J26" s="13"/>
      <c r="K26" s="13"/>
      <c r="L26" s="13"/>
      <c r="M26" s="15"/>
      <c r="N26" s="15"/>
      <c r="O26" s="13"/>
      <c r="P26" s="13"/>
      <c r="Q26" s="13"/>
    </row>
    <row r="27" spans="1:19" ht="15.5" x14ac:dyDescent="0.35">
      <c r="A27" s="6" t="s">
        <v>0</v>
      </c>
      <c r="B27" s="13"/>
      <c r="C27" s="15"/>
      <c r="D27" s="20">
        <f>D25/B25</f>
        <v>5.5260050251256265</v>
      </c>
      <c r="E27" s="13"/>
      <c r="F27" s="7" t="s">
        <v>0</v>
      </c>
      <c r="G27" s="13"/>
      <c r="H27" s="15"/>
      <c r="I27" s="20">
        <f>I25/G25</f>
        <v>21.870805460750855</v>
      </c>
      <c r="J27" s="13"/>
      <c r="K27" s="7" t="s">
        <v>0</v>
      </c>
      <c r="L27" s="13"/>
      <c r="M27" s="15"/>
      <c r="N27" s="20">
        <f>N25/L25</f>
        <v>0.90655290102389063</v>
      </c>
      <c r="O27" s="13"/>
      <c r="P27" s="13"/>
      <c r="Q27" s="13"/>
    </row>
    <row r="28" spans="1:19" ht="15.5" x14ac:dyDescent="0.35">
      <c r="A28" s="7"/>
      <c r="B28" s="13"/>
      <c r="C28" s="15"/>
      <c r="D28" s="20"/>
      <c r="E28" s="13"/>
      <c r="F28" s="7"/>
      <c r="G28" s="13"/>
      <c r="H28" s="15"/>
      <c r="I28" s="20"/>
      <c r="J28" s="13"/>
      <c r="K28" s="22"/>
      <c r="L28" s="22"/>
      <c r="M28" s="13"/>
      <c r="N28" s="13"/>
      <c r="O28" s="13"/>
      <c r="P28" s="13"/>
      <c r="Q28" s="13"/>
    </row>
    <row r="29" spans="1:19" ht="15.5" x14ac:dyDescent="0.35">
      <c r="A29" s="164" t="s">
        <v>456</v>
      </c>
      <c r="B29" s="166"/>
      <c r="C29" s="167"/>
      <c r="D29" s="168"/>
      <c r="E29" s="166"/>
      <c r="F29" s="164"/>
      <c r="G29" s="166"/>
      <c r="H29" s="167"/>
      <c r="I29" s="168"/>
      <c r="J29" s="166"/>
      <c r="K29" s="169"/>
      <c r="L29" s="169"/>
      <c r="M29" s="166"/>
      <c r="N29" s="166"/>
      <c r="O29" s="13"/>
      <c r="P29" s="13"/>
      <c r="Q29" s="13"/>
    </row>
    <row r="30" spans="1:19" ht="15.5" x14ac:dyDescent="0.35">
      <c r="A30" s="7"/>
      <c r="B30" s="13"/>
      <c r="C30" s="15"/>
      <c r="D30" s="20"/>
      <c r="E30" s="13"/>
      <c r="F30" s="7"/>
      <c r="G30" s="13"/>
      <c r="H30" s="15"/>
      <c r="I30" s="20"/>
      <c r="J30" s="13"/>
      <c r="K30" s="22"/>
      <c r="L30" s="22"/>
      <c r="M30" s="13"/>
      <c r="N30" s="13"/>
      <c r="O30" s="13"/>
      <c r="P30" s="13"/>
      <c r="Q30" s="13"/>
    </row>
    <row r="31" spans="1:19" ht="15.5" x14ac:dyDescent="0.35">
      <c r="A31" s="159" t="s">
        <v>30</v>
      </c>
      <c r="B31" s="160"/>
      <c r="C31" s="161"/>
      <c r="D31" s="162"/>
      <c r="F31" s="159" t="s">
        <v>166</v>
      </c>
      <c r="G31" s="159"/>
      <c r="H31" s="161"/>
      <c r="I31" s="162"/>
      <c r="K31" s="159" t="s">
        <v>42</v>
      </c>
      <c r="L31" s="160"/>
      <c r="M31" s="161"/>
      <c r="N31" s="162"/>
    </row>
    <row r="32" spans="1:19" ht="15.5" x14ac:dyDescent="0.35">
      <c r="A32" s="6"/>
      <c r="B32" s="7" t="s">
        <v>1</v>
      </c>
      <c r="C32" s="8" t="s">
        <v>2</v>
      </c>
      <c r="D32" s="8" t="s">
        <v>4</v>
      </c>
      <c r="E32" s="13"/>
      <c r="F32" s="7"/>
      <c r="G32" s="7" t="s">
        <v>1</v>
      </c>
      <c r="H32" s="8" t="s">
        <v>2</v>
      </c>
      <c r="I32" s="8" t="s">
        <v>4</v>
      </c>
      <c r="J32" s="13"/>
      <c r="K32" s="7"/>
      <c r="L32" s="7" t="s">
        <v>1</v>
      </c>
      <c r="M32" s="8" t="s">
        <v>2</v>
      </c>
      <c r="N32" s="8" t="s">
        <v>4</v>
      </c>
    </row>
    <row r="33" spans="1:14" ht="15.5" x14ac:dyDescent="0.35">
      <c r="A33" s="6" t="s">
        <v>44</v>
      </c>
      <c r="B33" s="28"/>
      <c r="C33" s="10">
        <f>'Pastry Costing'!$C$23</f>
        <v>5.8925938566552892E-2</v>
      </c>
      <c r="D33" s="11">
        <f>C33</f>
        <v>5.8925938566552892E-2</v>
      </c>
      <c r="E33" s="158"/>
      <c r="F33" s="171" t="s">
        <v>44</v>
      </c>
      <c r="G33" s="170"/>
      <c r="H33" s="10">
        <f>'Pastry Costing'!$C$24</f>
        <v>0.10878634812286687</v>
      </c>
      <c r="I33" s="11">
        <f>H33</f>
        <v>0.10878634812286687</v>
      </c>
      <c r="J33" s="158"/>
      <c r="K33" s="171" t="s">
        <v>44</v>
      </c>
      <c r="L33" s="170"/>
      <c r="M33" s="10">
        <f>'Pastry Costing'!$C$25</f>
        <v>0.19037610921501702</v>
      </c>
      <c r="N33" s="11">
        <f>M33</f>
        <v>0.19037610921501702</v>
      </c>
    </row>
    <row r="34" spans="1:14" ht="15.5" x14ac:dyDescent="0.35">
      <c r="A34" s="6" t="s">
        <v>45</v>
      </c>
      <c r="B34" s="28"/>
      <c r="C34" s="10"/>
      <c r="D34" s="11">
        <f>S20</f>
        <v>0.20270270270270271</v>
      </c>
      <c r="E34" s="158"/>
      <c r="F34" s="171" t="s">
        <v>45</v>
      </c>
      <c r="G34" s="170"/>
      <c r="H34" s="10"/>
      <c r="I34" s="11">
        <f>S21</f>
        <v>0.51980198019801982</v>
      </c>
      <c r="J34" s="158"/>
      <c r="K34" s="171" t="s">
        <v>45</v>
      </c>
      <c r="L34" s="170"/>
      <c r="M34" s="10"/>
      <c r="N34" s="11">
        <f>S22</f>
        <v>1.05</v>
      </c>
    </row>
    <row r="35" spans="1:14" ht="15.5" x14ac:dyDescent="0.35">
      <c r="A35" s="6" t="s">
        <v>47</v>
      </c>
      <c r="B35" s="28">
        <v>0.01</v>
      </c>
      <c r="C35" s="10">
        <f>'Ingredient Cost'!$D$79</f>
        <v>17.850000000000001</v>
      </c>
      <c r="D35" s="10">
        <f>B35*C35</f>
        <v>0.17850000000000002</v>
      </c>
      <c r="E35" s="158"/>
      <c r="F35" s="171" t="s">
        <v>47</v>
      </c>
      <c r="G35" s="170">
        <v>0.02</v>
      </c>
      <c r="H35" s="10">
        <v>0</v>
      </c>
      <c r="I35" s="10">
        <f>G35*H35</f>
        <v>0</v>
      </c>
      <c r="J35" s="158"/>
      <c r="K35" s="171" t="s">
        <v>47</v>
      </c>
      <c r="L35" s="170">
        <v>0.03</v>
      </c>
      <c r="M35" s="10">
        <f>'Ingredient Cost'!$D$79</f>
        <v>17.850000000000001</v>
      </c>
      <c r="N35" s="10">
        <f>L35*M35</f>
        <v>0.53549999999999998</v>
      </c>
    </row>
    <row r="36" spans="1:14" ht="15.5" x14ac:dyDescent="0.35">
      <c r="A36" s="7" t="s">
        <v>46</v>
      </c>
      <c r="B36" s="28"/>
      <c r="C36" s="10">
        <f>'Pastry Costing'!$E$23</f>
        <v>1.8131058020477812E-2</v>
      </c>
      <c r="D36" s="10">
        <f>C36</f>
        <v>1.8131058020477812E-2</v>
      </c>
      <c r="E36" s="13"/>
      <c r="F36" s="7" t="s">
        <v>46</v>
      </c>
      <c r="G36" s="28"/>
      <c r="H36" s="10">
        <f>'Pastry Costing'!$E$24</f>
        <v>3.6262116040955625E-2</v>
      </c>
      <c r="I36" s="10">
        <f>H36</f>
        <v>3.6262116040955625E-2</v>
      </c>
      <c r="J36" s="13"/>
      <c r="K36" s="7" t="s">
        <v>46</v>
      </c>
      <c r="L36" s="28"/>
      <c r="M36" s="10">
        <f>'Pastry Costing'!$E$25</f>
        <v>5.4393174061433437E-2</v>
      </c>
      <c r="N36" s="10">
        <f>M36</f>
        <v>5.4393174061433437E-2</v>
      </c>
    </row>
    <row r="37" spans="1:14" ht="15.5" x14ac:dyDescent="0.35">
      <c r="A37" s="7" t="s">
        <v>106</v>
      </c>
      <c r="B37" s="28"/>
      <c r="C37" s="10">
        <f>'Ingredient Cost'!$D$98</f>
        <v>0.02</v>
      </c>
      <c r="D37" s="10">
        <f>C37</f>
        <v>0.02</v>
      </c>
      <c r="E37" s="13"/>
      <c r="F37" s="7" t="s">
        <v>106</v>
      </c>
      <c r="G37" s="28"/>
      <c r="H37" s="10">
        <f>'Ingredient Cost'!$D$99</f>
        <v>7.0000000000000007E-2</v>
      </c>
      <c r="I37" s="10">
        <f>H37</f>
        <v>7.0000000000000007E-2</v>
      </c>
      <c r="J37" s="13"/>
      <c r="K37" s="7" t="s">
        <v>106</v>
      </c>
      <c r="L37" s="28"/>
      <c r="M37" s="10">
        <f>'Ingredient Cost'!$D$100</f>
        <v>0.08</v>
      </c>
      <c r="N37" s="10">
        <f>M37</f>
        <v>0.08</v>
      </c>
    </row>
    <row r="38" spans="1:14" ht="15.5" x14ac:dyDescent="0.35">
      <c r="A38" s="7" t="s">
        <v>180</v>
      </c>
      <c r="B38" s="28">
        <v>240</v>
      </c>
      <c r="C38" s="10">
        <v>20</v>
      </c>
      <c r="D38" s="10">
        <f>C38/B38</f>
        <v>8.3333333333333329E-2</v>
      </c>
      <c r="E38" s="13"/>
      <c r="F38" s="7" t="s">
        <v>140</v>
      </c>
      <c r="G38" s="28">
        <v>240</v>
      </c>
      <c r="H38" s="10">
        <v>20</v>
      </c>
      <c r="I38" s="10">
        <f>H38/G38</f>
        <v>8.3333333333333329E-2</v>
      </c>
      <c r="J38" s="13"/>
      <c r="K38" s="7" t="s">
        <v>140</v>
      </c>
      <c r="L38" s="28">
        <v>200</v>
      </c>
      <c r="M38" s="10">
        <v>20</v>
      </c>
      <c r="N38" s="10">
        <f>M38/L38</f>
        <v>0.1</v>
      </c>
    </row>
    <row r="39" spans="1:14" ht="15.5" x14ac:dyDescent="0.35">
      <c r="A39" s="7" t="s">
        <v>139</v>
      </c>
      <c r="B39" s="28">
        <v>1</v>
      </c>
      <c r="C39" s="10">
        <v>0.01</v>
      </c>
      <c r="D39" s="10">
        <f>C39/B39</f>
        <v>0.01</v>
      </c>
      <c r="E39" s="13"/>
      <c r="F39" s="7" t="s">
        <v>139</v>
      </c>
      <c r="G39" s="28">
        <v>1</v>
      </c>
      <c r="H39" s="10">
        <v>0.01</v>
      </c>
      <c r="I39" s="10">
        <f>H39/G39</f>
        <v>0.01</v>
      </c>
      <c r="J39" s="13"/>
      <c r="K39" s="7" t="s">
        <v>139</v>
      </c>
      <c r="L39" s="28">
        <v>1</v>
      </c>
      <c r="M39" s="10">
        <v>0.01</v>
      </c>
      <c r="N39" s="10">
        <f>M39/L39</f>
        <v>0.01</v>
      </c>
    </row>
    <row r="40" spans="1:14" ht="15.5" x14ac:dyDescent="0.35">
      <c r="A40" s="7" t="s">
        <v>220</v>
      </c>
      <c r="B40" s="28">
        <v>240</v>
      </c>
      <c r="C40" s="10">
        <v>20</v>
      </c>
      <c r="D40" s="10">
        <f>C40/B40</f>
        <v>8.3333333333333329E-2</v>
      </c>
      <c r="E40" s="13"/>
      <c r="F40" s="7" t="s">
        <v>220</v>
      </c>
      <c r="G40" s="28">
        <v>240</v>
      </c>
      <c r="H40" s="10">
        <v>20</v>
      </c>
      <c r="I40" s="10">
        <f>H40/G40</f>
        <v>8.3333333333333329E-2</v>
      </c>
      <c r="J40" s="13"/>
      <c r="K40" s="7" t="s">
        <v>220</v>
      </c>
      <c r="L40" s="28">
        <v>240</v>
      </c>
      <c r="M40" s="10">
        <v>20</v>
      </c>
      <c r="N40" s="10">
        <f>M40/L40</f>
        <v>8.3333333333333329E-2</v>
      </c>
    </row>
    <row r="41" spans="1:14" ht="13" x14ac:dyDescent="0.3">
      <c r="A41" s="13"/>
      <c r="B41" s="13"/>
      <c r="C41" s="15"/>
      <c r="D41" s="15"/>
      <c r="E41" s="13"/>
      <c r="F41" s="13"/>
      <c r="G41" s="13"/>
      <c r="H41" s="15"/>
      <c r="I41" s="15"/>
      <c r="J41" s="13"/>
      <c r="K41" s="13"/>
      <c r="L41" s="13"/>
      <c r="M41" s="15"/>
      <c r="N41" s="15"/>
    </row>
    <row r="42" spans="1:14" ht="15.5" x14ac:dyDescent="0.35">
      <c r="A42" s="6" t="s">
        <v>0</v>
      </c>
      <c r="B42" s="13"/>
      <c r="C42" s="15"/>
      <c r="D42" s="20">
        <f>SUM(D33:D40)</f>
        <v>0.65492636595640019</v>
      </c>
      <c r="E42" s="13"/>
      <c r="F42" s="7" t="s">
        <v>0</v>
      </c>
      <c r="G42" s="13"/>
      <c r="H42" s="15"/>
      <c r="I42" s="20">
        <f>SUM(I33:I41)</f>
        <v>0.91151711102850919</v>
      </c>
      <c r="J42" s="13"/>
      <c r="K42" s="7" t="s">
        <v>0</v>
      </c>
      <c r="L42" s="13"/>
      <c r="M42" s="15"/>
      <c r="N42" s="20">
        <f>SUM(N33:N40)</f>
        <v>2.1036026166097836</v>
      </c>
    </row>
    <row r="43" spans="1:14" ht="15.5" x14ac:dyDescent="0.35">
      <c r="A43" s="7"/>
      <c r="B43" s="13"/>
      <c r="C43" s="15"/>
      <c r="D43" s="20"/>
      <c r="E43" s="13"/>
      <c r="F43" s="7"/>
      <c r="G43" s="13"/>
      <c r="H43" s="15"/>
      <c r="I43" s="20"/>
      <c r="J43" s="13"/>
      <c r="K43" s="7"/>
      <c r="L43" s="13"/>
      <c r="M43" s="15"/>
      <c r="N43" s="20"/>
    </row>
    <row r="44" spans="1:14" ht="15.5" x14ac:dyDescent="0.35">
      <c r="A44" s="190" t="s">
        <v>566</v>
      </c>
      <c r="B44" s="209"/>
      <c r="C44" s="225"/>
      <c r="D44" s="226"/>
      <c r="E44" s="13"/>
      <c r="F44" s="190" t="s">
        <v>568</v>
      </c>
      <c r="G44" s="209"/>
      <c r="H44" s="225"/>
      <c r="I44" s="226"/>
      <c r="J44" s="13"/>
      <c r="K44" s="7"/>
      <c r="L44" s="13"/>
      <c r="M44" s="15"/>
      <c r="N44" s="20"/>
    </row>
    <row r="45" spans="1:14" ht="15.5" x14ac:dyDescent="0.35">
      <c r="A45" s="6"/>
      <c r="B45" s="7" t="s">
        <v>1</v>
      </c>
      <c r="C45" s="8" t="s">
        <v>2</v>
      </c>
      <c r="D45" s="8" t="s">
        <v>4</v>
      </c>
      <c r="E45" s="13"/>
      <c r="F45" s="7"/>
      <c r="G45" s="7" t="s">
        <v>1</v>
      </c>
      <c r="H45" s="8" t="s">
        <v>2</v>
      </c>
      <c r="I45" s="8" t="s">
        <v>4</v>
      </c>
      <c r="J45" s="13"/>
      <c r="K45" s="7"/>
      <c r="L45" s="13"/>
      <c r="M45" s="15"/>
      <c r="N45" s="20"/>
    </row>
    <row r="46" spans="1:14" ht="15.5" x14ac:dyDescent="0.35">
      <c r="A46" s="6" t="s">
        <v>44</v>
      </c>
      <c r="B46" s="28"/>
      <c r="C46" s="10">
        <f>'Pastry Costing'!$C$26</f>
        <v>0.40341604095563133</v>
      </c>
      <c r="D46" s="11">
        <f>C46</f>
        <v>0.40341604095563133</v>
      </c>
      <c r="E46" s="13"/>
      <c r="F46" s="7" t="s">
        <v>44</v>
      </c>
      <c r="G46" s="28"/>
      <c r="H46" s="10">
        <f>'Pastry Costing'!$C$27</f>
        <v>0.40341604095563133</v>
      </c>
      <c r="I46" s="11">
        <f>H46</f>
        <v>0.40341604095563133</v>
      </c>
      <c r="J46" s="13"/>
      <c r="K46" s="7"/>
      <c r="L46" s="13"/>
      <c r="M46" s="15"/>
      <c r="N46" s="20"/>
    </row>
    <row r="47" spans="1:14" ht="15.5" x14ac:dyDescent="0.35">
      <c r="A47" s="6" t="s">
        <v>45</v>
      </c>
      <c r="B47" s="28">
        <v>0.1</v>
      </c>
      <c r="C47" s="10">
        <v>52.5</v>
      </c>
      <c r="D47" s="11">
        <f>B47*C47</f>
        <v>5.25</v>
      </c>
      <c r="E47" s="13"/>
      <c r="F47" s="7" t="s">
        <v>45</v>
      </c>
      <c r="G47" s="28">
        <v>0.2</v>
      </c>
      <c r="H47" s="10">
        <v>52.5</v>
      </c>
      <c r="I47" s="11">
        <f>G47*H47</f>
        <v>10.5</v>
      </c>
      <c r="J47" s="13"/>
      <c r="K47" s="7"/>
      <c r="L47" s="13"/>
      <c r="M47" s="15"/>
      <c r="N47" s="20"/>
    </row>
    <row r="48" spans="1:14" ht="15.5" x14ac:dyDescent="0.35">
      <c r="A48" s="6" t="s">
        <v>47</v>
      </c>
      <c r="B48" s="28">
        <v>0.05</v>
      </c>
      <c r="C48" s="10">
        <f>'Ingredient Cost'!$D$79</f>
        <v>17.850000000000001</v>
      </c>
      <c r="D48" s="10">
        <f>B48*C48</f>
        <v>0.89250000000000007</v>
      </c>
      <c r="E48" s="13"/>
      <c r="F48" s="7" t="s">
        <v>47</v>
      </c>
      <c r="G48" s="28">
        <v>0.05</v>
      </c>
      <c r="H48" s="10">
        <f>'Ingredient Cost'!$D$79</f>
        <v>17.850000000000001</v>
      </c>
      <c r="I48" s="10">
        <f>G48*H48</f>
        <v>0.89250000000000007</v>
      </c>
      <c r="J48" s="13"/>
      <c r="K48" s="7"/>
      <c r="L48" s="13"/>
      <c r="M48" s="15"/>
      <c r="N48" s="20"/>
    </row>
    <row r="49" spans="1:14" ht="15.5" x14ac:dyDescent="0.35">
      <c r="A49" s="7" t="s">
        <v>46</v>
      </c>
      <c r="B49" s="28"/>
      <c r="C49" s="10">
        <f>'Pastry Costing'!$E$26</f>
        <v>5.4393174061433437E-2</v>
      </c>
      <c r="D49" s="10">
        <f>C49</f>
        <v>5.4393174061433437E-2</v>
      </c>
      <c r="E49" s="13"/>
      <c r="F49" s="7" t="s">
        <v>46</v>
      </c>
      <c r="G49" s="28"/>
      <c r="H49" s="10">
        <f>'Pastry Costing'!$E$27</f>
        <v>0.14958122866894197</v>
      </c>
      <c r="I49" s="10">
        <f>H49</f>
        <v>0.14958122866894197</v>
      </c>
      <c r="J49" s="13"/>
      <c r="K49" s="7"/>
      <c r="L49" s="13"/>
      <c r="M49" s="15"/>
      <c r="N49" s="20"/>
    </row>
    <row r="50" spans="1:14" ht="15.5" x14ac:dyDescent="0.35">
      <c r="A50" s="7" t="s">
        <v>140</v>
      </c>
      <c r="B50" s="28">
        <v>16</v>
      </c>
      <c r="C50" s="10">
        <v>20</v>
      </c>
      <c r="D50" s="10">
        <f>C50/B50</f>
        <v>1.25</v>
      </c>
      <c r="E50" s="13"/>
      <c r="F50" s="7" t="s">
        <v>140</v>
      </c>
      <c r="G50" s="227">
        <v>10</v>
      </c>
      <c r="H50" s="228">
        <v>20</v>
      </c>
      <c r="I50" s="228">
        <f>H50/G50</f>
        <v>2</v>
      </c>
      <c r="J50" s="13"/>
      <c r="K50" s="7"/>
      <c r="L50" s="13"/>
      <c r="M50" s="15"/>
      <c r="N50" s="74"/>
    </row>
    <row r="51" spans="1:14" ht="15.5" x14ac:dyDescent="0.35">
      <c r="A51" s="7" t="s">
        <v>106</v>
      </c>
      <c r="B51" s="28"/>
      <c r="C51" s="10">
        <f>'Ingredient Cost'!$D$100</f>
        <v>0.08</v>
      </c>
      <c r="D51" s="10">
        <f>C51</f>
        <v>0.08</v>
      </c>
      <c r="E51" s="13"/>
      <c r="F51" s="7" t="s">
        <v>106</v>
      </c>
      <c r="G51" s="28"/>
      <c r="H51" s="10">
        <f>'Ingredient Cost'!$D$100</f>
        <v>0.08</v>
      </c>
      <c r="I51" s="10">
        <f>H51</f>
        <v>0.08</v>
      </c>
      <c r="J51" s="13"/>
      <c r="K51" s="7"/>
      <c r="L51" s="13"/>
      <c r="M51" s="15"/>
      <c r="N51" s="74"/>
    </row>
    <row r="52" spans="1:14" ht="15.5" x14ac:dyDescent="0.35">
      <c r="A52" s="7" t="s">
        <v>139</v>
      </c>
      <c r="B52" s="28">
        <v>1</v>
      </c>
      <c r="C52" s="10">
        <v>0.01</v>
      </c>
      <c r="D52" s="10">
        <f>C52/B52</f>
        <v>0.01</v>
      </c>
      <c r="E52" s="13"/>
      <c r="F52" s="7" t="s">
        <v>139</v>
      </c>
      <c r="G52" s="28">
        <v>1</v>
      </c>
      <c r="H52" s="10">
        <v>0.01</v>
      </c>
      <c r="I52" s="10">
        <f>H52/G52</f>
        <v>0.01</v>
      </c>
      <c r="J52" s="13"/>
      <c r="K52" s="7"/>
      <c r="L52" s="13"/>
      <c r="M52" s="15"/>
      <c r="N52" s="74"/>
    </row>
    <row r="53" spans="1:14" ht="15.5" x14ac:dyDescent="0.35">
      <c r="A53" s="7" t="s">
        <v>220</v>
      </c>
      <c r="B53" s="28">
        <v>240</v>
      </c>
      <c r="C53" s="10">
        <v>20</v>
      </c>
      <c r="D53" s="10">
        <f>C53/B53</f>
        <v>8.3333333333333329E-2</v>
      </c>
      <c r="E53" s="13"/>
      <c r="F53" s="7" t="s">
        <v>220</v>
      </c>
      <c r="G53" s="222">
        <v>240</v>
      </c>
      <c r="H53" s="218">
        <v>20</v>
      </c>
      <c r="I53" s="218">
        <f>H53/G53</f>
        <v>8.3333333333333329E-2</v>
      </c>
      <c r="J53" s="13"/>
      <c r="K53" s="7"/>
      <c r="L53" s="13"/>
      <c r="M53" s="15"/>
      <c r="N53" s="74"/>
    </row>
    <row r="54" spans="1:14" ht="15.5" x14ac:dyDescent="0.35">
      <c r="A54" s="7"/>
      <c r="B54" s="13"/>
      <c r="C54" s="15"/>
      <c r="D54" s="74"/>
      <c r="E54" s="13"/>
      <c r="F54" s="13"/>
      <c r="G54" s="223"/>
      <c r="H54" s="219"/>
      <c r="I54" s="219"/>
      <c r="J54" s="13"/>
      <c r="K54" s="7"/>
      <c r="L54" s="13"/>
      <c r="M54" s="15"/>
      <c r="N54" s="74"/>
    </row>
    <row r="55" spans="1:14" ht="15.5" x14ac:dyDescent="0.35">
      <c r="A55" s="6" t="s">
        <v>0</v>
      </c>
      <c r="B55" s="13"/>
      <c r="C55" s="15"/>
      <c r="D55" s="20">
        <f>SUM(D46:D53)</f>
        <v>8.0236425483503986</v>
      </c>
      <c r="E55" s="13"/>
      <c r="F55" s="7" t="s">
        <v>0</v>
      </c>
      <c r="G55" s="13"/>
      <c r="H55" s="15"/>
      <c r="I55" s="20">
        <f>SUM(I46:I54)</f>
        <v>14.118830602957908</v>
      </c>
      <c r="J55" s="13"/>
      <c r="K55" s="7"/>
      <c r="L55" s="13"/>
      <c r="M55" s="15"/>
      <c r="N55" s="74"/>
    </row>
    <row r="56" spans="1:14" ht="15.5" x14ac:dyDescent="0.35">
      <c r="A56" s="7"/>
      <c r="B56" s="13"/>
      <c r="C56" s="15"/>
      <c r="D56" s="74"/>
      <c r="E56" s="13"/>
      <c r="F56" s="7"/>
      <c r="G56" s="13"/>
      <c r="H56" s="15"/>
      <c r="I56" s="74"/>
      <c r="J56" s="13"/>
      <c r="K56" s="7"/>
      <c r="L56" s="13"/>
      <c r="M56" s="15"/>
      <c r="N56" s="74"/>
    </row>
    <row r="57" spans="1:14" ht="15.5" x14ac:dyDescent="0.35">
      <c r="A57" s="7"/>
      <c r="B57" s="13"/>
      <c r="C57" s="15"/>
      <c r="D57" s="74"/>
      <c r="E57" s="13"/>
      <c r="F57" s="7"/>
      <c r="G57" s="13"/>
      <c r="H57" s="15"/>
      <c r="I57" s="74"/>
      <c r="J57" s="13"/>
      <c r="K57" s="7"/>
      <c r="L57" s="13"/>
      <c r="M57" s="15"/>
      <c r="N57" s="74"/>
    </row>
    <row r="58" spans="1:14" ht="15.5" x14ac:dyDescent="0.35">
      <c r="A58" s="164" t="s">
        <v>448</v>
      </c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60" spans="1:14" ht="15.5" x14ac:dyDescent="0.35">
      <c r="A60" s="190" t="s">
        <v>570</v>
      </c>
      <c r="B60" s="190"/>
      <c r="C60" s="190"/>
      <c r="D60" s="190"/>
      <c r="F60" s="190" t="s">
        <v>571</v>
      </c>
      <c r="G60" s="190"/>
      <c r="H60" s="190"/>
      <c r="I60" s="190"/>
    </row>
    <row r="61" spans="1:14" ht="15.5" x14ac:dyDescent="0.35">
      <c r="A61" s="6"/>
      <c r="B61" s="7" t="s">
        <v>1</v>
      </c>
      <c r="C61" s="8" t="s">
        <v>2</v>
      </c>
      <c r="D61" s="8" t="s">
        <v>4</v>
      </c>
      <c r="F61" s="7"/>
      <c r="G61" s="7" t="s">
        <v>1</v>
      </c>
      <c r="H61" s="8" t="s">
        <v>2</v>
      </c>
      <c r="I61" s="8" t="s">
        <v>4</v>
      </c>
    </row>
    <row r="62" spans="1:14" ht="15.5" x14ac:dyDescent="0.35">
      <c r="A62" s="6" t="s">
        <v>138</v>
      </c>
      <c r="B62" s="28">
        <v>2</v>
      </c>
      <c r="C62" s="10">
        <f>D42</f>
        <v>0.65492636595640019</v>
      </c>
      <c r="D62" s="156">
        <f>B62*C62</f>
        <v>1.3098527319128004</v>
      </c>
      <c r="E62" s="224"/>
      <c r="F62" s="7" t="s">
        <v>138</v>
      </c>
      <c r="G62" s="28">
        <v>6</v>
      </c>
      <c r="H62" s="10">
        <f>D42</f>
        <v>0.65492636595640019</v>
      </c>
      <c r="I62" s="11">
        <f>G62*H62</f>
        <v>3.9295581957384011</v>
      </c>
    </row>
    <row r="63" spans="1:14" ht="15.5" x14ac:dyDescent="0.35">
      <c r="A63" s="7" t="s">
        <v>139</v>
      </c>
      <c r="B63" s="28">
        <v>1</v>
      </c>
      <c r="C63" s="10">
        <v>0.01</v>
      </c>
      <c r="D63" s="157">
        <f>C63/B63</f>
        <v>0.01</v>
      </c>
      <c r="E63" s="224"/>
      <c r="F63" s="7" t="s">
        <v>139</v>
      </c>
      <c r="G63" s="28">
        <v>1</v>
      </c>
      <c r="H63" s="10">
        <v>0.01</v>
      </c>
      <c r="I63" s="10">
        <f>H63/G63</f>
        <v>0.01</v>
      </c>
    </row>
    <row r="64" spans="1:14" ht="15.5" x14ac:dyDescent="0.35">
      <c r="A64" s="7" t="s">
        <v>220</v>
      </c>
      <c r="B64" s="28">
        <v>240</v>
      </c>
      <c r="C64" s="10">
        <v>20</v>
      </c>
      <c r="D64" s="157">
        <f>C64/B64</f>
        <v>8.3333333333333329E-2</v>
      </c>
      <c r="E64" s="224"/>
      <c r="F64" s="7" t="s">
        <v>220</v>
      </c>
      <c r="G64" s="28">
        <v>240</v>
      </c>
      <c r="H64" s="10">
        <v>20</v>
      </c>
      <c r="I64" s="10">
        <f>H64/G64</f>
        <v>8.3333333333333329E-2</v>
      </c>
    </row>
    <row r="65" spans="1:9" ht="13" x14ac:dyDescent="0.3">
      <c r="A65" s="13"/>
      <c r="B65" s="13"/>
      <c r="C65" s="15"/>
      <c r="D65" s="15"/>
      <c r="F65" s="13"/>
      <c r="G65" s="13"/>
      <c r="H65" s="15"/>
      <c r="I65" s="15"/>
    </row>
    <row r="66" spans="1:9" ht="15.5" x14ac:dyDescent="0.35">
      <c r="A66" s="6" t="s">
        <v>0</v>
      </c>
      <c r="B66" s="13"/>
      <c r="C66" s="15"/>
      <c r="D66" s="20">
        <f>SUM(D57:D64)</f>
        <v>1.4031860652461337</v>
      </c>
      <c r="F66" s="7" t="s">
        <v>0</v>
      </c>
      <c r="G66" s="13"/>
      <c r="H66" s="15"/>
      <c r="I66" s="20">
        <f>SUM(I57:I64)</f>
        <v>4.0228915290717344</v>
      </c>
    </row>
    <row r="71" spans="1:9" ht="15.5" x14ac:dyDescent="0.35">
      <c r="A71" s="190" t="s">
        <v>567</v>
      </c>
      <c r="B71" s="190"/>
      <c r="C71" s="190"/>
      <c r="D71" s="190"/>
      <c r="F71" s="190" t="s">
        <v>569</v>
      </c>
      <c r="G71" s="190"/>
      <c r="H71" s="190"/>
      <c r="I71" s="190"/>
    </row>
    <row r="72" spans="1:9" ht="15.5" x14ac:dyDescent="0.35">
      <c r="A72" s="6"/>
      <c r="B72" s="7" t="s">
        <v>1</v>
      </c>
      <c r="C72" s="8" t="s">
        <v>2</v>
      </c>
      <c r="D72" s="8" t="s">
        <v>4</v>
      </c>
      <c r="F72" s="7"/>
      <c r="G72" s="7" t="s">
        <v>1</v>
      </c>
      <c r="H72" s="8" t="s">
        <v>2</v>
      </c>
      <c r="I72" s="8" t="s">
        <v>4</v>
      </c>
    </row>
    <row r="73" spans="1:9" ht="15.5" x14ac:dyDescent="0.35">
      <c r="A73" s="6" t="s">
        <v>138</v>
      </c>
      <c r="B73" s="28">
        <v>5</v>
      </c>
      <c r="C73" s="10">
        <f>$I$42</f>
        <v>0.91151711102850919</v>
      </c>
      <c r="D73" s="156">
        <f>B73*C73</f>
        <v>4.5575855551425457</v>
      </c>
      <c r="E73" s="224"/>
      <c r="F73" s="7" t="s">
        <v>138</v>
      </c>
      <c r="G73" s="28">
        <v>8</v>
      </c>
      <c r="H73" s="10">
        <f>$I$42</f>
        <v>0.91151711102850919</v>
      </c>
      <c r="I73" s="11">
        <f>G73*H73</f>
        <v>7.2921368882280735</v>
      </c>
    </row>
    <row r="74" spans="1:9" ht="15.5" x14ac:dyDescent="0.35">
      <c r="A74" s="6" t="s">
        <v>94</v>
      </c>
      <c r="B74" s="28">
        <v>1</v>
      </c>
      <c r="C74" s="10">
        <f>'Ingredient Cost'!$D$86</f>
        <v>0.12</v>
      </c>
      <c r="D74" s="156">
        <f>B74*C74</f>
        <v>0.12</v>
      </c>
      <c r="E74" s="224"/>
      <c r="F74" s="7" t="s">
        <v>94</v>
      </c>
      <c r="G74" s="28">
        <v>1</v>
      </c>
      <c r="H74" s="10">
        <f>'Ingredient Cost'!$D$86</f>
        <v>0.12</v>
      </c>
      <c r="I74" s="11">
        <f>G74*H74</f>
        <v>0.12</v>
      </c>
    </row>
    <row r="75" spans="1:9" ht="15.5" x14ac:dyDescent="0.35">
      <c r="A75" s="6" t="s">
        <v>139</v>
      </c>
      <c r="B75" s="28">
        <v>5</v>
      </c>
      <c r="C75" s="10">
        <f>'Ingredient Cost'!$D$89</f>
        <v>0.06</v>
      </c>
      <c r="D75" s="157">
        <f>B75*C75</f>
        <v>0.3</v>
      </c>
      <c r="E75" s="224"/>
      <c r="F75" s="7" t="s">
        <v>139</v>
      </c>
      <c r="G75" s="28">
        <v>5</v>
      </c>
      <c r="H75" s="10">
        <f>'Ingredient Cost'!$D$89</f>
        <v>0.06</v>
      </c>
      <c r="I75" s="10">
        <f>G75*H75</f>
        <v>0.3</v>
      </c>
    </row>
    <row r="76" spans="1:9" ht="15.5" x14ac:dyDescent="0.35">
      <c r="A76" s="7" t="s">
        <v>66</v>
      </c>
      <c r="B76" s="28">
        <v>1</v>
      </c>
      <c r="C76" s="10">
        <f>'Ingredient Cost'!$D$109</f>
        <v>0.27</v>
      </c>
      <c r="D76" s="10">
        <f>B76*C76</f>
        <v>0.27</v>
      </c>
      <c r="F76" s="7" t="s">
        <v>66</v>
      </c>
      <c r="G76" s="28">
        <v>1</v>
      </c>
      <c r="H76" s="10">
        <f>'Ingredient Cost'!$D$109</f>
        <v>0.27</v>
      </c>
      <c r="I76" s="10">
        <f>G76*H76</f>
        <v>0.27</v>
      </c>
    </row>
    <row r="77" spans="1:9" ht="15.5" x14ac:dyDescent="0.35">
      <c r="A77" s="7" t="s">
        <v>180</v>
      </c>
      <c r="B77" s="28">
        <v>20</v>
      </c>
      <c r="C77" s="10">
        <v>20</v>
      </c>
      <c r="D77" s="10">
        <f>C77/B77</f>
        <v>1</v>
      </c>
      <c r="F77" s="7" t="s">
        <v>180</v>
      </c>
      <c r="G77" s="28">
        <v>20</v>
      </c>
      <c r="H77" s="10">
        <v>20</v>
      </c>
      <c r="I77" s="10">
        <f>H77/G77</f>
        <v>1</v>
      </c>
    </row>
    <row r="78" spans="1:9" ht="15.5" x14ac:dyDescent="0.35">
      <c r="A78" s="7"/>
      <c r="B78" s="28"/>
      <c r="C78" s="10"/>
      <c r="D78" s="10"/>
      <c r="F78" s="7"/>
      <c r="G78" s="28"/>
      <c r="H78" s="10"/>
      <c r="I78" s="10"/>
    </row>
    <row r="79" spans="1:9" ht="15.5" x14ac:dyDescent="0.35">
      <c r="A79" s="7"/>
      <c r="B79" s="28"/>
      <c r="C79" s="10"/>
      <c r="D79" s="10"/>
      <c r="F79" s="7"/>
      <c r="G79" s="28"/>
      <c r="H79" s="10"/>
      <c r="I79" s="10"/>
    </row>
    <row r="80" spans="1:9" ht="15.5" x14ac:dyDescent="0.35">
      <c r="A80" s="7"/>
      <c r="B80" s="12"/>
      <c r="C80" s="10"/>
      <c r="D80" s="10"/>
      <c r="F80" s="7"/>
      <c r="G80" s="12"/>
      <c r="H80" s="10"/>
      <c r="I80" s="10"/>
    </row>
    <row r="81" spans="1:10" ht="13" x14ac:dyDescent="0.3">
      <c r="A81" s="13"/>
      <c r="B81" s="13"/>
      <c r="C81" s="15"/>
      <c r="D81" s="15"/>
      <c r="F81" s="13"/>
      <c r="G81" s="13"/>
      <c r="H81" s="15"/>
      <c r="I81" s="15"/>
    </row>
    <row r="82" spans="1:10" ht="15.5" x14ac:dyDescent="0.35">
      <c r="A82" s="6" t="s">
        <v>0</v>
      </c>
      <c r="B82" s="13"/>
      <c r="C82" s="15"/>
      <c r="D82" s="20">
        <f>D73+D74+D75+D76+D77</f>
        <v>6.2475855551425461</v>
      </c>
      <c r="F82" s="7" t="s">
        <v>0</v>
      </c>
      <c r="G82" s="13"/>
      <c r="H82" s="15"/>
      <c r="I82" s="20">
        <f>I73+I74+I75+I76+I77</f>
        <v>8.982136888228073</v>
      </c>
    </row>
    <row r="83" spans="1:10" ht="15.5" x14ac:dyDescent="0.35">
      <c r="A83" s="7" t="s">
        <v>182</v>
      </c>
      <c r="D83" s="74">
        <f>D82/5</f>
        <v>1.2495171110285093</v>
      </c>
      <c r="F83" s="7" t="s">
        <v>182</v>
      </c>
      <c r="I83" s="74">
        <f>I82/8</f>
        <v>1.1227671110285091</v>
      </c>
    </row>
    <row r="85" spans="1:10" ht="15.5" x14ac:dyDescent="0.35">
      <c r="A85" s="190" t="s">
        <v>572</v>
      </c>
      <c r="B85" s="190"/>
      <c r="C85" s="190"/>
      <c r="D85" s="190"/>
      <c r="F85" s="190" t="s">
        <v>573</v>
      </c>
      <c r="G85" s="190"/>
      <c r="H85" s="190"/>
      <c r="I85" s="190"/>
    </row>
    <row r="86" spans="1:10" ht="15.5" x14ac:dyDescent="0.35">
      <c r="A86" s="6"/>
      <c r="B86" s="7" t="s">
        <v>1</v>
      </c>
      <c r="C86" s="8" t="s">
        <v>2</v>
      </c>
      <c r="D86" s="8" t="s">
        <v>4</v>
      </c>
      <c r="F86" s="7"/>
      <c r="G86" s="7" t="s">
        <v>1</v>
      </c>
      <c r="H86" s="8" t="s">
        <v>2</v>
      </c>
      <c r="I86" s="8" t="s">
        <v>4</v>
      </c>
    </row>
    <row r="87" spans="1:10" ht="15.5" x14ac:dyDescent="0.35">
      <c r="A87" s="6" t="s">
        <v>138</v>
      </c>
      <c r="B87" s="28">
        <v>4</v>
      </c>
      <c r="C87" s="10">
        <f>N42</f>
        <v>2.1036026166097836</v>
      </c>
      <c r="D87" s="156">
        <f>B87*C87</f>
        <v>8.4144104664391346</v>
      </c>
      <c r="E87" s="224"/>
      <c r="F87" s="171" t="s">
        <v>138</v>
      </c>
      <c r="G87" s="170">
        <v>6</v>
      </c>
      <c r="H87" s="10">
        <f>N42</f>
        <v>2.1036026166097836</v>
      </c>
      <c r="I87" s="156">
        <f>G87*H87</f>
        <v>12.621615699658701</v>
      </c>
      <c r="J87" s="224"/>
    </row>
    <row r="88" spans="1:10" ht="15.5" x14ac:dyDescent="0.35">
      <c r="A88" s="6" t="s">
        <v>94</v>
      </c>
      <c r="B88" s="28">
        <v>1</v>
      </c>
      <c r="C88" s="10">
        <f>'Ingredient Cost'!$D$86</f>
        <v>0.12</v>
      </c>
      <c r="D88" s="156">
        <f>B88*C88</f>
        <v>0.12</v>
      </c>
      <c r="E88" s="224"/>
      <c r="F88" s="171" t="s">
        <v>94</v>
      </c>
      <c r="G88" s="170">
        <v>1</v>
      </c>
      <c r="H88" s="10">
        <f>'Ingredient Cost'!$D$86</f>
        <v>0.12</v>
      </c>
      <c r="I88" s="156">
        <f>G88*H88</f>
        <v>0.12</v>
      </c>
      <c r="J88" s="224"/>
    </row>
    <row r="89" spans="1:10" ht="15.5" x14ac:dyDescent="0.35">
      <c r="A89" s="6" t="s">
        <v>139</v>
      </c>
      <c r="B89" s="28">
        <v>4</v>
      </c>
      <c r="C89" s="10">
        <f>'Ingredient Cost'!$D$89</f>
        <v>0.06</v>
      </c>
      <c r="D89" s="157">
        <f>B89*C89</f>
        <v>0.24</v>
      </c>
      <c r="E89" s="224"/>
      <c r="F89" s="171" t="s">
        <v>139</v>
      </c>
      <c r="G89" s="170">
        <v>6</v>
      </c>
      <c r="H89" s="10">
        <f>'Ingredient Cost'!$D$89</f>
        <v>0.06</v>
      </c>
      <c r="I89" s="157">
        <f>G89*H89</f>
        <v>0.36</v>
      </c>
      <c r="J89" s="224"/>
    </row>
    <row r="90" spans="1:10" ht="15.5" x14ac:dyDescent="0.35">
      <c r="A90" s="7" t="s">
        <v>66</v>
      </c>
      <c r="B90" s="28">
        <v>1</v>
      </c>
      <c r="C90" s="10">
        <f>'Ingredient Cost'!$D$109</f>
        <v>0.27</v>
      </c>
      <c r="D90" s="10">
        <f>B90*C90</f>
        <v>0.27</v>
      </c>
      <c r="F90" s="7" t="s">
        <v>66</v>
      </c>
      <c r="G90" s="28">
        <v>1</v>
      </c>
      <c r="H90" s="10">
        <f>'Ingredient Cost'!$D$109</f>
        <v>0.27</v>
      </c>
      <c r="I90" s="10">
        <f>G90*H90</f>
        <v>0.27</v>
      </c>
    </row>
    <row r="91" spans="1:10" ht="15.5" x14ac:dyDescent="0.35">
      <c r="A91" s="7" t="s">
        <v>180</v>
      </c>
      <c r="B91" s="28">
        <v>20</v>
      </c>
      <c r="C91" s="10">
        <v>20</v>
      </c>
      <c r="D91" s="10">
        <f>C91/B91</f>
        <v>1</v>
      </c>
      <c r="F91" s="7" t="s">
        <v>180</v>
      </c>
      <c r="G91" s="28">
        <v>20</v>
      </c>
      <c r="H91" s="10">
        <v>20</v>
      </c>
      <c r="I91" s="10">
        <f>H91/G91</f>
        <v>1</v>
      </c>
    </row>
    <row r="92" spans="1:10" ht="15.5" x14ac:dyDescent="0.35">
      <c r="A92" s="7"/>
      <c r="B92" s="28"/>
      <c r="C92" s="10"/>
      <c r="D92" s="10"/>
      <c r="F92" s="7"/>
      <c r="G92" s="28"/>
      <c r="H92" s="10"/>
      <c r="I92" s="10"/>
    </row>
    <row r="93" spans="1:10" ht="15.5" x14ac:dyDescent="0.35">
      <c r="A93" s="7"/>
      <c r="B93" s="28"/>
      <c r="C93" s="10"/>
      <c r="D93" s="10"/>
      <c r="F93" s="7"/>
      <c r="G93" s="28"/>
      <c r="H93" s="10"/>
      <c r="I93" s="10"/>
    </row>
    <row r="94" spans="1:10" ht="15.5" x14ac:dyDescent="0.35">
      <c r="A94" s="7"/>
      <c r="B94" s="12"/>
      <c r="C94" s="10"/>
      <c r="D94" s="10"/>
      <c r="F94" s="7"/>
      <c r="G94" s="12"/>
      <c r="H94" s="10"/>
      <c r="I94" s="10"/>
    </row>
    <row r="95" spans="1:10" ht="13" x14ac:dyDescent="0.3">
      <c r="A95" s="13"/>
      <c r="B95" s="13"/>
      <c r="C95" s="15"/>
      <c r="D95" s="15"/>
      <c r="F95" s="13"/>
      <c r="G95" s="13"/>
      <c r="H95" s="15"/>
      <c r="I95" s="15"/>
    </row>
    <row r="96" spans="1:10" ht="15.5" x14ac:dyDescent="0.35">
      <c r="A96" s="6" t="s">
        <v>0</v>
      </c>
      <c r="B96" s="13"/>
      <c r="C96" s="15"/>
      <c r="D96" s="20">
        <f>D87+D88+D89+D90+D91</f>
        <v>10.044410466439134</v>
      </c>
      <c r="F96" s="7" t="s">
        <v>0</v>
      </c>
      <c r="G96" s="13"/>
      <c r="H96" s="15"/>
      <c r="I96" s="20">
        <f>I87+I88+I89+I90+I91</f>
        <v>14.371615699658699</v>
      </c>
    </row>
    <row r="97" spans="1:9" ht="15.5" x14ac:dyDescent="0.35">
      <c r="A97" s="7" t="s">
        <v>182</v>
      </c>
      <c r="D97" s="74">
        <f>D96/4</f>
        <v>2.5111026166097834</v>
      </c>
      <c r="F97" s="7" t="s">
        <v>182</v>
      </c>
      <c r="I97" s="74">
        <f>I96/6</f>
        <v>2.3952692832764497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92"/>
  <sheetViews>
    <sheetView topLeftCell="A19" workbookViewId="0">
      <selection activeCell="L30" sqref="L30"/>
    </sheetView>
  </sheetViews>
  <sheetFormatPr defaultRowHeight="12.5" x14ac:dyDescent="0.25"/>
  <cols>
    <col min="1" max="1" width="17.81640625" customWidth="1"/>
    <col min="5" max="5" width="11.453125" customWidth="1"/>
    <col min="6" max="6" width="19.1796875" customWidth="1"/>
    <col min="11" max="11" width="17.1796875" customWidth="1"/>
    <col min="16" max="16" width="12.81640625" customWidth="1"/>
    <col min="21" max="21" width="15" customWidth="1"/>
    <col min="26" max="26" width="11.54296875" customWidth="1"/>
    <col min="31" max="31" width="12" customWidth="1"/>
    <col min="36" max="36" width="11.54296875" customWidth="1"/>
  </cols>
  <sheetData>
    <row r="1" spans="1:22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</row>
    <row r="2" spans="1:22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</row>
    <row r="3" spans="1:22" ht="26" x14ac:dyDescent="0.25">
      <c r="A3" s="249" t="s">
        <v>233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5.5" x14ac:dyDescent="0.35">
      <c r="A16" s="6" t="s">
        <v>3</v>
      </c>
      <c r="B16" s="78" t="s">
        <v>204</v>
      </c>
      <c r="C16" s="8"/>
      <c r="D16" s="9"/>
      <c r="E16" s="13"/>
      <c r="F16" s="6" t="s">
        <v>3</v>
      </c>
      <c r="G16" s="78" t="s">
        <v>210</v>
      </c>
      <c r="H16" s="8"/>
      <c r="I16" s="9"/>
      <c r="J16" s="22"/>
      <c r="K16" s="6" t="s">
        <v>3</v>
      </c>
      <c r="L16" s="78" t="s">
        <v>223</v>
      </c>
      <c r="M16" s="8"/>
      <c r="N16" s="9"/>
      <c r="O16" s="22"/>
      <c r="P16" s="22"/>
      <c r="Q16" s="22"/>
      <c r="R16" s="22"/>
      <c r="S16" s="22"/>
      <c r="T16" s="13"/>
      <c r="U16" s="13">
        <v>240</v>
      </c>
      <c r="V16" s="13"/>
    </row>
    <row r="17" spans="1:39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 t="s">
        <v>1</v>
      </c>
      <c r="H17" s="8" t="s">
        <v>2</v>
      </c>
      <c r="I17" s="9" t="s">
        <v>4</v>
      </c>
      <c r="J17" s="22"/>
      <c r="K17" s="6"/>
      <c r="L17" s="7" t="s">
        <v>1</v>
      </c>
      <c r="M17" s="8" t="s">
        <v>2</v>
      </c>
      <c r="N17" s="9" t="s">
        <v>4</v>
      </c>
      <c r="O17" s="22"/>
      <c r="P17" s="22"/>
      <c r="Q17" s="22"/>
      <c r="R17" s="22"/>
      <c r="S17" s="22"/>
      <c r="T17" s="13"/>
      <c r="U17" s="13">
        <v>480</v>
      </c>
      <c r="V17" s="13"/>
    </row>
    <row r="18" spans="1:39" ht="15.5" x14ac:dyDescent="0.35">
      <c r="A18" s="6" t="s">
        <v>15</v>
      </c>
      <c r="B18" s="28">
        <v>5</v>
      </c>
      <c r="C18" s="10">
        <f>'Ingredient Cost'!$D$8</f>
        <v>0.54</v>
      </c>
      <c r="D18" s="11">
        <f>B18*C18</f>
        <v>2.7</v>
      </c>
      <c r="E18" s="13"/>
      <c r="F18" s="7" t="s">
        <v>208</v>
      </c>
      <c r="G18" s="28">
        <v>14.25</v>
      </c>
      <c r="H18" s="10">
        <f>'Ingredient Cost'!$D$47</f>
        <v>21.25</v>
      </c>
      <c r="I18" s="10">
        <f t="shared" ref="I18" si="0">G18*H18</f>
        <v>302.8125</v>
      </c>
      <c r="J18" s="22"/>
      <c r="K18" s="7" t="s">
        <v>208</v>
      </c>
      <c r="L18" s="28">
        <v>14.25</v>
      </c>
      <c r="M18" s="10">
        <f>'Ingredient Cost'!$D$47</f>
        <v>21.25</v>
      </c>
      <c r="N18" s="10">
        <f t="shared" ref="N18" si="1">L18*M18</f>
        <v>302.8125</v>
      </c>
      <c r="O18" s="22"/>
      <c r="P18" s="22"/>
      <c r="Q18" s="22"/>
      <c r="R18" s="22"/>
      <c r="S18" s="22"/>
      <c r="T18" s="13"/>
      <c r="U18" s="13">
        <v>240</v>
      </c>
      <c r="V18" s="13"/>
    </row>
    <row r="19" spans="1:39" ht="15.5" x14ac:dyDescent="0.35">
      <c r="A19" s="6" t="s">
        <v>205</v>
      </c>
      <c r="B19" s="28">
        <v>1.7</v>
      </c>
      <c r="C19" s="10">
        <f>'Ingredient Cost'!$D$10</f>
        <v>11</v>
      </c>
      <c r="D19" s="11">
        <f>B19*C19</f>
        <v>18.7</v>
      </c>
      <c r="E19" s="13"/>
      <c r="F19" s="6" t="s">
        <v>209</v>
      </c>
      <c r="G19" s="28">
        <v>0.4</v>
      </c>
      <c r="H19" s="10">
        <f>$D$25</f>
        <v>5.5260050251256265</v>
      </c>
      <c r="I19" s="11">
        <f>G19*H19</f>
        <v>2.2104020100502506</v>
      </c>
      <c r="J19" s="22"/>
      <c r="K19" s="6" t="s">
        <v>209</v>
      </c>
      <c r="L19" s="28">
        <v>0.4</v>
      </c>
      <c r="M19" s="10">
        <f>$I$25</f>
        <v>20.820675905122883</v>
      </c>
      <c r="N19" s="11">
        <f>L19*M19</f>
        <v>8.3282703620491532</v>
      </c>
      <c r="O19" s="22"/>
      <c r="P19" s="22"/>
      <c r="Q19" s="22"/>
      <c r="R19" s="22"/>
      <c r="S19" s="22"/>
      <c r="T19" s="13"/>
      <c r="U19" s="13">
        <v>200</v>
      </c>
      <c r="V19" s="13"/>
    </row>
    <row r="20" spans="1:39" ht="15.5" x14ac:dyDescent="0.35">
      <c r="A20" s="6" t="s">
        <v>47</v>
      </c>
      <c r="B20" s="28">
        <v>1.1000000000000001</v>
      </c>
      <c r="C20" s="10">
        <f>'Ingredient Cost'!$D$79</f>
        <v>17.850000000000001</v>
      </c>
      <c r="D20" s="10">
        <f>B20*C20</f>
        <v>19.635000000000002</v>
      </c>
      <c r="E20" s="13"/>
      <c r="F20" s="22"/>
      <c r="G20" s="91"/>
      <c r="H20" s="91"/>
      <c r="I20" s="91"/>
      <c r="J20" s="22"/>
      <c r="K20" s="6" t="s">
        <v>62</v>
      </c>
      <c r="L20" s="28">
        <v>1.1000000000000001</v>
      </c>
      <c r="M20" s="10">
        <f>'Ingredient Cost'!$D$18</f>
        <v>4.75</v>
      </c>
      <c r="N20" s="11">
        <f>L20*M20</f>
        <v>5.2250000000000005</v>
      </c>
      <c r="O20" s="22"/>
      <c r="P20" s="22"/>
      <c r="Q20" s="22"/>
      <c r="R20" s="22"/>
      <c r="S20" s="22"/>
      <c r="T20" s="13"/>
      <c r="U20" s="13">
        <v>12</v>
      </c>
      <c r="V20" s="13"/>
    </row>
    <row r="21" spans="1:39" ht="15.5" x14ac:dyDescent="0.35">
      <c r="A21" s="7" t="s">
        <v>206</v>
      </c>
      <c r="B21" s="28">
        <v>0.08</v>
      </c>
      <c r="C21" s="10">
        <f>'Ingredient Cost'!$D$25</f>
        <v>36.9</v>
      </c>
      <c r="D21" s="10">
        <f t="shared" ref="D21:D22" si="2">B21*C21</f>
        <v>2.952</v>
      </c>
      <c r="E21" s="13"/>
      <c r="F21" s="22"/>
      <c r="G21" s="91"/>
      <c r="H21" s="91"/>
      <c r="I21" s="91"/>
      <c r="J21" s="22"/>
      <c r="K21" s="22"/>
      <c r="L21" s="91"/>
      <c r="M21" s="91"/>
      <c r="N21" s="91"/>
      <c r="O21" s="22"/>
      <c r="P21" s="22"/>
      <c r="Q21" s="22"/>
      <c r="R21" s="22"/>
      <c r="S21" s="22"/>
      <c r="T21" s="13"/>
      <c r="U21" s="13">
        <v>10</v>
      </c>
      <c r="V21" s="13"/>
    </row>
    <row r="22" spans="1:39" ht="15.5" x14ac:dyDescent="0.35">
      <c r="A22" s="7" t="s">
        <v>207</v>
      </c>
      <c r="B22" s="28">
        <v>0.08</v>
      </c>
      <c r="C22" s="10">
        <f>'Ingredient Cost'!$D$23</f>
        <v>9.3699999999999992</v>
      </c>
      <c r="D22" s="10">
        <f t="shared" si="2"/>
        <v>0.74959999999999993</v>
      </c>
      <c r="E22" s="13"/>
      <c r="F22" s="22"/>
      <c r="G22" s="91"/>
      <c r="H22" s="91"/>
      <c r="I22" s="91"/>
      <c r="J22" s="22"/>
      <c r="K22" s="22"/>
      <c r="L22" s="91"/>
      <c r="M22" s="91"/>
      <c r="N22" s="91"/>
      <c r="O22" s="13"/>
      <c r="P22" s="13"/>
      <c r="Q22" s="13"/>
      <c r="R22" s="13"/>
      <c r="S22" s="13"/>
      <c r="T22" s="13"/>
      <c r="U22" s="13"/>
      <c r="V22" s="13"/>
    </row>
    <row r="23" spans="1:39" ht="15.5" x14ac:dyDescent="0.35">
      <c r="A23" s="6"/>
      <c r="B23" s="12">
        <f>SUM(B18:B22)</f>
        <v>7.9600000000000009</v>
      </c>
      <c r="C23" s="10"/>
      <c r="D23" s="10">
        <f>SUM(D18:D21)</f>
        <v>43.986999999999995</v>
      </c>
      <c r="E23" s="13"/>
      <c r="F23" s="22"/>
      <c r="G23" s="12">
        <f>SUM(G18:G22)</f>
        <v>14.65</v>
      </c>
      <c r="H23" s="10"/>
      <c r="I23" s="10">
        <f>SUM(I18:I21)</f>
        <v>305.02290201005025</v>
      </c>
      <c r="J23" s="22"/>
      <c r="K23" s="22"/>
      <c r="L23" s="12">
        <f>SUM(L18:L22)</f>
        <v>15.75</v>
      </c>
      <c r="M23" s="10"/>
      <c r="N23" s="10">
        <f>SUM(N18:N21)</f>
        <v>316.36577036204915</v>
      </c>
      <c r="O23" s="13"/>
      <c r="P23" s="13"/>
      <c r="Q23" s="13"/>
      <c r="R23" s="13"/>
      <c r="S23" s="13"/>
      <c r="T23" s="13"/>
      <c r="U23" s="13"/>
      <c r="V23" s="13"/>
    </row>
    <row r="24" spans="1:39" ht="13" x14ac:dyDescent="0.3">
      <c r="A24" s="13"/>
      <c r="B24" s="13"/>
      <c r="C24" s="15"/>
      <c r="D24" s="15"/>
      <c r="E24" s="13"/>
      <c r="F24" s="22"/>
      <c r="G24" s="22"/>
      <c r="H24" s="22"/>
      <c r="I24" s="22"/>
      <c r="J24" s="22"/>
      <c r="K24" s="22"/>
      <c r="L24" s="22"/>
      <c r="M24" s="22"/>
      <c r="N24" s="22"/>
      <c r="O24" s="13"/>
      <c r="P24" s="13"/>
      <c r="Q24" s="13"/>
      <c r="R24" s="13"/>
      <c r="S24" s="13"/>
      <c r="T24" s="13"/>
      <c r="U24" s="13"/>
      <c r="V24" s="13"/>
    </row>
    <row r="25" spans="1:39" ht="15.5" x14ac:dyDescent="0.35">
      <c r="A25" s="6" t="s">
        <v>0</v>
      </c>
      <c r="B25" s="13"/>
      <c r="C25" s="15"/>
      <c r="D25" s="20">
        <f>D23/B23</f>
        <v>5.5260050251256265</v>
      </c>
      <c r="E25" s="13"/>
      <c r="F25" s="7" t="s">
        <v>0</v>
      </c>
      <c r="G25" s="13"/>
      <c r="H25" s="15"/>
      <c r="I25" s="20">
        <f>I23/G23</f>
        <v>20.820675905122883</v>
      </c>
      <c r="J25" s="22"/>
      <c r="K25" s="7" t="s">
        <v>0</v>
      </c>
      <c r="L25" s="13"/>
      <c r="M25" s="15"/>
      <c r="N25" s="19">
        <f>N23/L23</f>
        <v>20.086715578542805</v>
      </c>
      <c r="O25" s="13"/>
      <c r="P25" s="13"/>
      <c r="Q25" s="13"/>
      <c r="R25" s="13"/>
      <c r="S25" s="13"/>
      <c r="T25" s="13"/>
      <c r="U25" s="13"/>
      <c r="V25" s="13"/>
    </row>
    <row r="26" spans="1:39" ht="15.5" x14ac:dyDescent="0.35">
      <c r="A26" s="7"/>
      <c r="B26" s="13"/>
      <c r="C26" s="15"/>
      <c r="D26" s="20"/>
      <c r="E26" s="13"/>
      <c r="F26" s="22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39" ht="15.5" x14ac:dyDescent="0.35">
      <c r="A27" s="7" t="s">
        <v>3</v>
      </c>
      <c r="B27" s="78" t="s">
        <v>212</v>
      </c>
      <c r="C27" s="15"/>
      <c r="D27" s="20"/>
      <c r="E27" s="13"/>
      <c r="F27" s="7" t="s">
        <v>3</v>
      </c>
      <c r="G27" s="78" t="s">
        <v>211</v>
      </c>
      <c r="H27" s="15"/>
      <c r="I27" s="20"/>
      <c r="J27" s="22"/>
      <c r="K27" s="7" t="s">
        <v>3</v>
      </c>
      <c r="L27" s="78" t="s">
        <v>166</v>
      </c>
      <c r="M27" s="15"/>
      <c r="N27" s="20"/>
      <c r="O27" s="20"/>
      <c r="P27" s="7" t="s">
        <v>3</v>
      </c>
      <c r="Q27" s="78" t="s">
        <v>224</v>
      </c>
      <c r="R27" s="15"/>
      <c r="S27" s="20"/>
      <c r="T27" s="13"/>
      <c r="U27" s="7" t="s">
        <v>3</v>
      </c>
      <c r="V27" s="78" t="s">
        <v>42</v>
      </c>
      <c r="W27" s="15"/>
      <c r="X27" s="20"/>
      <c r="Y27" s="20"/>
      <c r="Z27" s="7" t="s">
        <v>3</v>
      </c>
      <c r="AA27" s="78" t="s">
        <v>226</v>
      </c>
      <c r="AB27" s="15"/>
      <c r="AC27" s="20"/>
      <c r="AE27" s="7" t="s">
        <v>3</v>
      </c>
      <c r="AF27" s="78" t="s">
        <v>32</v>
      </c>
      <c r="AG27" s="15"/>
      <c r="AH27" s="20"/>
      <c r="AJ27" s="7" t="s">
        <v>3</v>
      </c>
      <c r="AK27" s="78" t="s">
        <v>38</v>
      </c>
      <c r="AL27" s="15"/>
      <c r="AM27" s="20"/>
    </row>
    <row r="28" spans="1:39" ht="15.5" x14ac:dyDescent="0.35">
      <c r="A28" s="6"/>
      <c r="B28" s="7" t="s">
        <v>1</v>
      </c>
      <c r="C28" s="8" t="s">
        <v>2</v>
      </c>
      <c r="D28" s="9" t="s">
        <v>4</v>
      </c>
      <c r="E28" s="13"/>
      <c r="F28" s="7"/>
      <c r="G28" s="7" t="s">
        <v>1</v>
      </c>
      <c r="H28" s="8" t="s">
        <v>2</v>
      </c>
      <c r="I28" s="9" t="s">
        <v>4</v>
      </c>
      <c r="J28" s="13"/>
      <c r="K28" s="7"/>
      <c r="L28" s="7" t="s">
        <v>1</v>
      </c>
      <c r="M28" s="8" t="s">
        <v>2</v>
      </c>
      <c r="N28" s="9" t="s">
        <v>4</v>
      </c>
      <c r="O28" s="8"/>
      <c r="P28" s="6"/>
      <c r="Q28" s="7" t="s">
        <v>1</v>
      </c>
      <c r="R28" s="8" t="s">
        <v>2</v>
      </c>
      <c r="S28" s="9" t="s">
        <v>4</v>
      </c>
      <c r="T28" s="13"/>
      <c r="U28" s="6"/>
      <c r="V28" s="7" t="s">
        <v>1</v>
      </c>
      <c r="W28" s="8" t="s">
        <v>2</v>
      </c>
      <c r="X28" s="9" t="s">
        <v>4</v>
      </c>
      <c r="Y28" s="8"/>
      <c r="Z28" s="6"/>
      <c r="AA28" s="7" t="s">
        <v>1</v>
      </c>
      <c r="AB28" s="8" t="s">
        <v>2</v>
      </c>
      <c r="AC28" s="9" t="s">
        <v>4</v>
      </c>
      <c r="AE28" s="6"/>
      <c r="AF28" s="7" t="s">
        <v>1</v>
      </c>
      <c r="AG28" s="8" t="s">
        <v>2</v>
      </c>
      <c r="AH28" s="9" t="s">
        <v>4</v>
      </c>
      <c r="AJ28" s="7"/>
      <c r="AK28" s="7" t="s">
        <v>1</v>
      </c>
      <c r="AL28" s="8" t="s">
        <v>2</v>
      </c>
      <c r="AM28" s="8" t="s">
        <v>4</v>
      </c>
    </row>
    <row r="29" spans="1:39" ht="15.5" x14ac:dyDescent="0.35">
      <c r="A29" s="6" t="s">
        <v>44</v>
      </c>
      <c r="B29" s="28"/>
      <c r="C29" s="10">
        <f>'Pastry Costing'!$C$23</f>
        <v>5.8925938566552892E-2</v>
      </c>
      <c r="D29" s="11">
        <f>C29</f>
        <v>5.8925938566552892E-2</v>
      </c>
      <c r="E29" s="13"/>
      <c r="F29" s="171" t="s">
        <v>44</v>
      </c>
      <c r="G29" s="170"/>
      <c r="H29" s="10">
        <f>'Pastry Costing'!$C$23</f>
        <v>5.8925938566552892E-2</v>
      </c>
      <c r="I29" s="11">
        <f>H29</f>
        <v>5.8925938566552892E-2</v>
      </c>
      <c r="J29" s="13"/>
      <c r="K29" s="171" t="s">
        <v>44</v>
      </c>
      <c r="L29" s="170"/>
      <c r="M29" s="10">
        <f>'Pastry Costing'!$C$24</f>
        <v>0.10878634812286687</v>
      </c>
      <c r="N29" s="11">
        <f>M29</f>
        <v>0.10878634812286687</v>
      </c>
      <c r="O29" s="74"/>
      <c r="P29" s="6" t="s">
        <v>44</v>
      </c>
      <c r="Q29" s="28"/>
      <c r="R29" s="10">
        <f>'Pastry Costing'!$C$24</f>
        <v>0.10878634812286687</v>
      </c>
      <c r="S29" s="11">
        <f>R29</f>
        <v>0.10878634812286687</v>
      </c>
      <c r="T29" s="13"/>
      <c r="U29" s="6" t="s">
        <v>44</v>
      </c>
      <c r="V29" s="28"/>
      <c r="W29" s="10">
        <f>'Pastry Costing'!$C$25</f>
        <v>0.19037610921501702</v>
      </c>
      <c r="X29" s="11">
        <f>W29</f>
        <v>0.19037610921501702</v>
      </c>
      <c r="Y29" s="74"/>
      <c r="Z29" s="6" t="s">
        <v>44</v>
      </c>
      <c r="AA29" s="28"/>
      <c r="AB29" s="10">
        <f>'Pastry Costing'!C25</f>
        <v>0.19037610921501702</v>
      </c>
      <c r="AC29" s="11">
        <f>AB29</f>
        <v>0.19037610921501702</v>
      </c>
      <c r="AE29" s="6" t="s">
        <v>44</v>
      </c>
      <c r="AF29" s="28"/>
      <c r="AG29" s="10">
        <f>'Pastry Costing'!$C$26</f>
        <v>0.40341604095563133</v>
      </c>
      <c r="AH29" s="11">
        <f>AG29</f>
        <v>0.40341604095563133</v>
      </c>
      <c r="AJ29" s="7" t="s">
        <v>44</v>
      </c>
      <c r="AK29" s="28"/>
      <c r="AL29" s="10">
        <f>'Pastry Costing'!$C$27</f>
        <v>0.40341604095563133</v>
      </c>
      <c r="AM29" s="11">
        <f>AL29</f>
        <v>0.40341604095563133</v>
      </c>
    </row>
    <row r="30" spans="1:39" ht="15.5" x14ac:dyDescent="0.35">
      <c r="A30" s="6" t="s">
        <v>45</v>
      </c>
      <c r="B30" s="28">
        <v>5.5E-2</v>
      </c>
      <c r="C30" s="10">
        <f>$I$25</f>
        <v>20.820675905122883</v>
      </c>
      <c r="D30" s="11">
        <f>B30*C30</f>
        <v>1.1451371747817585</v>
      </c>
      <c r="E30" s="13"/>
      <c r="F30" s="171" t="s">
        <v>45</v>
      </c>
      <c r="G30" s="170">
        <v>5.5E-2</v>
      </c>
      <c r="H30" s="10">
        <f>$I$25</f>
        <v>20.820675905122883</v>
      </c>
      <c r="I30" s="11">
        <f>G30*H30</f>
        <v>1.1451371747817585</v>
      </c>
      <c r="J30" s="13"/>
      <c r="K30" s="171" t="s">
        <v>45</v>
      </c>
      <c r="L30" s="170">
        <v>0.14000000000000001</v>
      </c>
      <c r="M30" s="10">
        <f>$I$25</f>
        <v>20.820675905122883</v>
      </c>
      <c r="N30" s="11">
        <f>L30*M30</f>
        <v>2.9148946267172038</v>
      </c>
      <c r="O30" s="74"/>
      <c r="P30" s="6" t="s">
        <v>45</v>
      </c>
      <c r="Q30" s="28">
        <v>0.14000000000000001</v>
      </c>
      <c r="R30" s="10">
        <f>$N$25</f>
        <v>20.086715578542805</v>
      </c>
      <c r="S30" s="11">
        <f>Q30*R30</f>
        <v>2.8121401809959927</v>
      </c>
      <c r="T30" s="13"/>
      <c r="U30" s="6" t="s">
        <v>45</v>
      </c>
      <c r="V30" s="28">
        <v>0.28000000000000003</v>
      </c>
      <c r="W30" s="10">
        <f>$I$25</f>
        <v>20.820675905122883</v>
      </c>
      <c r="X30" s="11">
        <f>V30*W30</f>
        <v>5.8297892534344076</v>
      </c>
      <c r="Y30" s="74"/>
      <c r="Z30" s="6" t="s">
        <v>45</v>
      </c>
      <c r="AA30" s="28">
        <v>0.28000000000000003</v>
      </c>
      <c r="AB30" s="10">
        <f>N25</f>
        <v>20.086715578542805</v>
      </c>
      <c r="AC30" s="11">
        <f>AA30*AB30</f>
        <v>5.6242803619919854</v>
      </c>
      <c r="AE30" s="6" t="s">
        <v>45</v>
      </c>
      <c r="AF30" s="28">
        <v>0.45</v>
      </c>
      <c r="AG30" s="10">
        <f>$I$25</f>
        <v>20.820675905122883</v>
      </c>
      <c r="AH30" s="11">
        <f>AF30*AG30</f>
        <v>9.3693041573052973</v>
      </c>
      <c r="AJ30" s="7" t="s">
        <v>45</v>
      </c>
      <c r="AK30" s="28">
        <v>0.6</v>
      </c>
      <c r="AL30" s="10">
        <f>$I$25</f>
        <v>20.820675905122883</v>
      </c>
      <c r="AM30" s="11">
        <f>AK30*AL30</f>
        <v>12.49240554307373</v>
      </c>
    </row>
    <row r="31" spans="1:39" ht="15.5" x14ac:dyDescent="0.35">
      <c r="A31" s="7" t="s">
        <v>62</v>
      </c>
      <c r="B31" s="28">
        <v>1.4999999999999999E-2</v>
      </c>
      <c r="C31" s="10">
        <f>'Ingredient Cost'!$D$18</f>
        <v>4.75</v>
      </c>
      <c r="D31" s="10">
        <f>B31*C31</f>
        <v>7.1249999999999994E-2</v>
      </c>
      <c r="E31" s="13"/>
      <c r="F31" s="171" t="s">
        <v>47</v>
      </c>
      <c r="G31" s="170">
        <v>0.01</v>
      </c>
      <c r="H31" s="10">
        <f>'Ingredient Cost'!$D$79</f>
        <v>17.850000000000001</v>
      </c>
      <c r="I31" s="10">
        <f>G31*H31</f>
        <v>0.17850000000000002</v>
      </c>
      <c r="J31" s="13"/>
      <c r="K31" s="171" t="s">
        <v>47</v>
      </c>
      <c r="L31" s="170">
        <v>0.02</v>
      </c>
      <c r="M31" s="10">
        <v>0</v>
      </c>
      <c r="N31" s="10">
        <f>L31*M31</f>
        <v>0</v>
      </c>
      <c r="O31" s="15"/>
      <c r="P31" s="6" t="s">
        <v>47</v>
      </c>
      <c r="Q31" s="28">
        <v>0.02</v>
      </c>
      <c r="R31" s="10">
        <f>'Ingredient Cost'!$D$79</f>
        <v>17.850000000000001</v>
      </c>
      <c r="S31" s="10">
        <f>Q31*R31</f>
        <v>0.35700000000000004</v>
      </c>
      <c r="T31" s="13"/>
      <c r="U31" s="6" t="s">
        <v>47</v>
      </c>
      <c r="V31" s="28">
        <v>0.03</v>
      </c>
      <c r="W31" s="10">
        <f>'Ingredient Cost'!$D$79</f>
        <v>17.850000000000001</v>
      </c>
      <c r="X31" s="10">
        <f>V31*W31</f>
        <v>0.53549999999999998</v>
      </c>
      <c r="Y31" s="15"/>
      <c r="Z31" s="6" t="s">
        <v>47</v>
      </c>
      <c r="AA31" s="28">
        <v>0.03</v>
      </c>
      <c r="AB31" s="10">
        <f>'Ingredient Cost'!D79</f>
        <v>17.850000000000001</v>
      </c>
      <c r="AC31" s="10">
        <f>AA31*AB31</f>
        <v>0.53549999999999998</v>
      </c>
      <c r="AE31" s="6" t="s">
        <v>47</v>
      </c>
      <c r="AF31" s="28">
        <v>0.05</v>
      </c>
      <c r="AG31" s="10">
        <f>'Ingredient Cost'!$D$79</f>
        <v>17.850000000000001</v>
      </c>
      <c r="AH31" s="10">
        <f>AF31*AG31</f>
        <v>0.89250000000000007</v>
      </c>
      <c r="AJ31" s="7" t="s">
        <v>47</v>
      </c>
      <c r="AK31" s="28">
        <v>0.05</v>
      </c>
      <c r="AL31" s="10">
        <f>'Ingredient Cost'!$D$79</f>
        <v>17.850000000000001</v>
      </c>
      <c r="AM31" s="10">
        <f>AK31*AL31</f>
        <v>0.89250000000000007</v>
      </c>
    </row>
    <row r="32" spans="1:39" ht="15.5" x14ac:dyDescent="0.35">
      <c r="A32" s="7" t="s">
        <v>106</v>
      </c>
      <c r="B32" s="28">
        <v>1</v>
      </c>
      <c r="C32" s="10">
        <f>'Ingredient Cost'!$D$98</f>
        <v>0.02</v>
      </c>
      <c r="D32" s="10">
        <f>B32*C32</f>
        <v>0.02</v>
      </c>
      <c r="E32" s="13"/>
      <c r="F32" s="7" t="s">
        <v>46</v>
      </c>
      <c r="G32" s="28"/>
      <c r="H32" s="10">
        <f>'Pastry Costing'!$E$23</f>
        <v>1.8131058020477812E-2</v>
      </c>
      <c r="I32" s="10">
        <f>H32</f>
        <v>1.8131058020477812E-2</v>
      </c>
      <c r="J32" s="13"/>
      <c r="K32" s="7" t="s">
        <v>46</v>
      </c>
      <c r="L32" s="28"/>
      <c r="M32" s="10">
        <f>'Pastry Costing'!$E$24</f>
        <v>3.6262116040955625E-2</v>
      </c>
      <c r="N32" s="10">
        <f>M32</f>
        <v>3.6262116040955625E-2</v>
      </c>
      <c r="O32" s="15"/>
      <c r="P32" s="7" t="s">
        <v>46</v>
      </c>
      <c r="Q32" s="28"/>
      <c r="R32" s="10">
        <f>'Pastry Costing'!$E$24</f>
        <v>3.6262116040955625E-2</v>
      </c>
      <c r="S32" s="10">
        <f>R32</f>
        <v>3.6262116040955625E-2</v>
      </c>
      <c r="T32" s="13"/>
      <c r="U32" s="7" t="s">
        <v>46</v>
      </c>
      <c r="V32" s="28"/>
      <c r="W32" s="10">
        <f>'Pastry Costing'!$E$25</f>
        <v>5.4393174061433437E-2</v>
      </c>
      <c r="X32" s="10">
        <f>W32</f>
        <v>5.4393174061433437E-2</v>
      </c>
      <c r="Y32" s="15"/>
      <c r="Z32" s="7" t="s">
        <v>46</v>
      </c>
      <c r="AA32" s="28"/>
      <c r="AB32" s="10">
        <f>'Pastry Costing'!E25</f>
        <v>5.4393174061433437E-2</v>
      </c>
      <c r="AC32" s="10">
        <f>AB32</f>
        <v>5.4393174061433437E-2</v>
      </c>
      <c r="AE32" s="7" t="s">
        <v>46</v>
      </c>
      <c r="AF32" s="28"/>
      <c r="AG32" s="10">
        <f>'Pastry Costing'!$E$26</f>
        <v>5.4393174061433437E-2</v>
      </c>
      <c r="AH32" s="10">
        <f>AG32</f>
        <v>5.4393174061433437E-2</v>
      </c>
      <c r="AJ32" s="7" t="s">
        <v>46</v>
      </c>
      <c r="AK32" s="28"/>
      <c r="AL32" s="10">
        <f>'Pastry Costing'!$E$27</f>
        <v>0.14958122866894197</v>
      </c>
      <c r="AM32" s="10">
        <f>AL32</f>
        <v>0.14958122866894197</v>
      </c>
    </row>
    <row r="33" spans="1:39" ht="15.5" x14ac:dyDescent="0.35">
      <c r="A33" s="7" t="s">
        <v>180</v>
      </c>
      <c r="B33" s="28">
        <v>240</v>
      </c>
      <c r="C33" s="10">
        <v>15</v>
      </c>
      <c r="D33" s="10">
        <f>C33/B33</f>
        <v>6.25E-2</v>
      </c>
      <c r="E33" s="13"/>
      <c r="F33" s="7" t="s">
        <v>106</v>
      </c>
      <c r="G33" s="28"/>
      <c r="H33" s="10">
        <f>'Ingredient Cost'!$D$98</f>
        <v>0.02</v>
      </c>
      <c r="I33" s="10">
        <f>H33</f>
        <v>0.02</v>
      </c>
      <c r="J33" s="13"/>
      <c r="K33" s="7" t="s">
        <v>106</v>
      </c>
      <c r="L33" s="28"/>
      <c r="M33" s="10">
        <f>'Ingredient Cost'!$D$99</f>
        <v>7.0000000000000007E-2</v>
      </c>
      <c r="N33" s="10">
        <f>M33</f>
        <v>7.0000000000000007E-2</v>
      </c>
      <c r="O33" s="15"/>
      <c r="P33" s="7" t="s">
        <v>106</v>
      </c>
      <c r="Q33" s="28"/>
      <c r="R33" s="10">
        <f>'Ingredient Cost'!$D$99</f>
        <v>7.0000000000000007E-2</v>
      </c>
      <c r="S33" s="10">
        <f>R33</f>
        <v>7.0000000000000007E-2</v>
      </c>
      <c r="T33" s="13"/>
      <c r="U33" s="7" t="s">
        <v>106</v>
      </c>
      <c r="V33" s="28"/>
      <c r="W33" s="10">
        <f>'Ingredient Cost'!$D$100</f>
        <v>0.08</v>
      </c>
      <c r="X33" s="10">
        <f>W33</f>
        <v>0.08</v>
      </c>
      <c r="Y33" s="15"/>
      <c r="Z33" s="7" t="s">
        <v>106</v>
      </c>
      <c r="AA33" s="28"/>
      <c r="AB33" s="10">
        <f>'Ingredient Cost'!D100</f>
        <v>0.08</v>
      </c>
      <c r="AC33" s="10">
        <f>AB33</f>
        <v>0.08</v>
      </c>
      <c r="AE33" s="7" t="s">
        <v>140</v>
      </c>
      <c r="AF33" s="28">
        <v>16</v>
      </c>
      <c r="AG33" s="10">
        <v>15</v>
      </c>
      <c r="AH33" s="10">
        <f>AG33/AF33</f>
        <v>0.9375</v>
      </c>
      <c r="AJ33" s="7" t="s">
        <v>140</v>
      </c>
      <c r="AK33" s="227">
        <v>10</v>
      </c>
      <c r="AL33" s="228">
        <v>15</v>
      </c>
      <c r="AM33" s="228">
        <f>AL33/AK33</f>
        <v>1.5</v>
      </c>
    </row>
    <row r="34" spans="1:39" ht="15.5" x14ac:dyDescent="0.35">
      <c r="A34" s="7" t="s">
        <v>139</v>
      </c>
      <c r="B34" s="28">
        <v>1</v>
      </c>
      <c r="C34" s="10">
        <v>0.01</v>
      </c>
      <c r="D34" s="10">
        <f>C34/B34</f>
        <v>0.01</v>
      </c>
      <c r="E34" s="13"/>
      <c r="F34" s="7" t="s">
        <v>180</v>
      </c>
      <c r="G34" s="28">
        <v>240</v>
      </c>
      <c r="H34" s="10">
        <v>15</v>
      </c>
      <c r="I34" s="10">
        <f>H34/G34</f>
        <v>6.25E-2</v>
      </c>
      <c r="J34" s="13"/>
      <c r="K34" s="7" t="s">
        <v>140</v>
      </c>
      <c r="L34" s="28">
        <v>240</v>
      </c>
      <c r="M34" s="10">
        <v>15</v>
      </c>
      <c r="N34" s="10">
        <f>M34/L34</f>
        <v>6.25E-2</v>
      </c>
      <c r="O34" s="15"/>
      <c r="P34" s="7" t="s">
        <v>140</v>
      </c>
      <c r="Q34" s="28">
        <v>240</v>
      </c>
      <c r="R34" s="10">
        <v>15</v>
      </c>
      <c r="S34" s="10">
        <f>R34/Q34</f>
        <v>6.25E-2</v>
      </c>
      <c r="T34" s="13"/>
      <c r="U34" s="7" t="s">
        <v>140</v>
      </c>
      <c r="V34" s="28">
        <v>200</v>
      </c>
      <c r="W34" s="10">
        <v>15</v>
      </c>
      <c r="X34" s="10">
        <f>W34/V34</f>
        <v>7.4999999999999997E-2</v>
      </c>
      <c r="Y34" s="15"/>
      <c r="Z34" s="7" t="s">
        <v>140</v>
      </c>
      <c r="AA34" s="28">
        <v>200</v>
      </c>
      <c r="AB34" s="10">
        <v>15</v>
      </c>
      <c r="AC34" s="10">
        <f>AB34/AA34</f>
        <v>7.4999999999999997E-2</v>
      </c>
      <c r="AE34" s="7" t="s">
        <v>106</v>
      </c>
      <c r="AF34" s="28"/>
      <c r="AG34" s="10">
        <f>'Ingredient Cost'!$D$100</f>
        <v>0.08</v>
      </c>
      <c r="AH34" s="10">
        <f>AG34</f>
        <v>0.08</v>
      </c>
      <c r="AJ34" s="7" t="s">
        <v>106</v>
      </c>
      <c r="AK34" s="28"/>
      <c r="AL34" s="10">
        <f>'Ingredient Cost'!$D$100</f>
        <v>0.08</v>
      </c>
      <c r="AM34" s="10">
        <f>AL34</f>
        <v>0.08</v>
      </c>
    </row>
    <row r="35" spans="1:39" ht="15.5" x14ac:dyDescent="0.35">
      <c r="A35" s="7" t="s">
        <v>220</v>
      </c>
      <c r="B35" s="28">
        <v>240</v>
      </c>
      <c r="C35" s="10">
        <v>15</v>
      </c>
      <c r="D35" s="10">
        <f>C35/B35</f>
        <v>6.25E-2</v>
      </c>
      <c r="E35" s="13"/>
      <c r="F35" s="7" t="s">
        <v>139</v>
      </c>
      <c r="G35" s="28">
        <v>1</v>
      </c>
      <c r="H35" s="10">
        <v>0.01</v>
      </c>
      <c r="I35" s="10">
        <f>H35/G35</f>
        <v>0.01</v>
      </c>
      <c r="J35" s="13"/>
      <c r="K35" s="7" t="s">
        <v>139</v>
      </c>
      <c r="L35" s="28">
        <v>1</v>
      </c>
      <c r="M35" s="10">
        <v>0.01</v>
      </c>
      <c r="N35" s="10">
        <f>M35/L35</f>
        <v>0.01</v>
      </c>
      <c r="O35" s="15"/>
      <c r="P35" s="7"/>
      <c r="Q35" s="28"/>
      <c r="R35" s="10"/>
      <c r="S35" s="10"/>
      <c r="T35" s="13"/>
      <c r="U35" s="7" t="s">
        <v>139</v>
      </c>
      <c r="V35" s="28">
        <v>1</v>
      </c>
      <c r="W35" s="10">
        <v>0.01</v>
      </c>
      <c r="X35" s="10">
        <f>W35/V35</f>
        <v>0.01</v>
      </c>
      <c r="Y35" s="15"/>
      <c r="Z35" s="7"/>
      <c r="AA35" s="28"/>
      <c r="AB35" s="10"/>
      <c r="AC35" s="10"/>
      <c r="AE35" s="7" t="s">
        <v>139</v>
      </c>
      <c r="AF35" s="28">
        <v>1</v>
      </c>
      <c r="AG35" s="10">
        <v>0.01</v>
      </c>
      <c r="AH35" s="10">
        <f>AG35/AF35</f>
        <v>0.01</v>
      </c>
      <c r="AJ35" s="7" t="s">
        <v>139</v>
      </c>
      <c r="AK35" s="28">
        <v>1</v>
      </c>
      <c r="AL35" s="10">
        <v>0.01</v>
      </c>
      <c r="AM35" s="10">
        <f>AL35/AK35</f>
        <v>0.01</v>
      </c>
    </row>
    <row r="36" spans="1:39" ht="15.5" x14ac:dyDescent="0.35">
      <c r="A36" s="7"/>
      <c r="B36" s="12"/>
      <c r="C36" s="10"/>
      <c r="D36" s="10"/>
      <c r="E36" s="13"/>
      <c r="F36" s="7" t="s">
        <v>220</v>
      </c>
      <c r="G36" s="28">
        <v>240</v>
      </c>
      <c r="H36" s="10">
        <v>15</v>
      </c>
      <c r="I36" s="10">
        <f>H36/G36</f>
        <v>6.25E-2</v>
      </c>
      <c r="J36" s="13"/>
      <c r="K36" s="7" t="s">
        <v>220</v>
      </c>
      <c r="L36" s="222">
        <v>240</v>
      </c>
      <c r="M36" s="218">
        <v>15</v>
      </c>
      <c r="N36" s="218">
        <f>M36/L36</f>
        <v>6.25E-2</v>
      </c>
      <c r="O36" s="15"/>
      <c r="P36" s="7"/>
      <c r="Q36" s="12"/>
      <c r="R36" s="10"/>
      <c r="S36" s="10"/>
      <c r="T36" s="13"/>
      <c r="U36" s="7" t="s">
        <v>220</v>
      </c>
      <c r="V36" s="222">
        <v>240</v>
      </c>
      <c r="W36" s="218">
        <v>15</v>
      </c>
      <c r="X36" s="218">
        <f>W36/V36</f>
        <v>6.25E-2</v>
      </c>
      <c r="Y36" s="15"/>
      <c r="Z36" s="7"/>
      <c r="AA36" s="12"/>
      <c r="AB36" s="10"/>
      <c r="AC36" s="10"/>
      <c r="AE36" s="7" t="s">
        <v>220</v>
      </c>
      <c r="AF36" s="28">
        <v>240</v>
      </c>
      <c r="AG36" s="10">
        <v>15</v>
      </c>
      <c r="AH36" s="10">
        <f>AG36/$AF$36</f>
        <v>6.25E-2</v>
      </c>
      <c r="AJ36" s="7" t="s">
        <v>220</v>
      </c>
      <c r="AK36" s="28">
        <v>240</v>
      </c>
      <c r="AL36" s="10">
        <v>15</v>
      </c>
      <c r="AM36" s="10">
        <f>AL36/$AF$36</f>
        <v>6.25E-2</v>
      </c>
    </row>
    <row r="37" spans="1:39" ht="13" x14ac:dyDescent="0.3">
      <c r="A37" s="13"/>
      <c r="B37" s="13"/>
      <c r="C37" s="15"/>
      <c r="D37" s="15"/>
      <c r="E37" s="13"/>
      <c r="F37" s="13"/>
      <c r="G37" s="13"/>
      <c r="H37" s="15"/>
      <c r="I37" s="14"/>
      <c r="J37" s="13"/>
      <c r="K37" s="13"/>
      <c r="L37" s="223"/>
      <c r="M37" s="219"/>
      <c r="N37" s="219"/>
      <c r="O37" s="15"/>
      <c r="P37" s="13"/>
      <c r="Q37" s="13"/>
      <c r="R37" s="15"/>
      <c r="S37" s="14"/>
      <c r="T37" s="13"/>
      <c r="U37" s="13"/>
      <c r="V37" s="13"/>
      <c r="W37" s="15"/>
      <c r="X37" s="14"/>
      <c r="Y37" s="15"/>
      <c r="Z37" s="13"/>
      <c r="AA37" s="13"/>
      <c r="AB37" s="15"/>
      <c r="AC37" s="14"/>
      <c r="AE37" s="13"/>
      <c r="AF37" s="13"/>
      <c r="AG37" s="15"/>
      <c r="AH37" s="14"/>
      <c r="AJ37" s="13"/>
      <c r="AK37" s="13"/>
      <c r="AL37" s="15"/>
      <c r="AM37" s="14"/>
    </row>
    <row r="38" spans="1:39" ht="15.5" x14ac:dyDescent="0.35">
      <c r="A38" s="6" t="s">
        <v>0</v>
      </c>
      <c r="B38" s="13"/>
      <c r="C38" s="15"/>
      <c r="D38" s="20">
        <f>SUM(D29:D35)</f>
        <v>1.4303131133483113</v>
      </c>
      <c r="E38" s="13"/>
      <c r="F38" s="7" t="s">
        <v>0</v>
      </c>
      <c r="G38" s="13"/>
      <c r="H38" s="15"/>
      <c r="I38" s="19">
        <f>SUM(I29:I36)</f>
        <v>1.5556941713687893</v>
      </c>
      <c r="J38" s="13"/>
      <c r="K38" s="7" t="s">
        <v>0</v>
      </c>
      <c r="L38" s="13"/>
      <c r="M38" s="15"/>
      <c r="N38" s="20">
        <f>SUM(N29:N36)</f>
        <v>3.264943090881026</v>
      </c>
      <c r="O38" s="20"/>
      <c r="P38" s="6" t="s">
        <v>0</v>
      </c>
      <c r="Q38" s="13"/>
      <c r="R38" s="15"/>
      <c r="S38" s="19">
        <f>SUM(S29:S36)</f>
        <v>3.4466886451598153</v>
      </c>
      <c r="T38" s="13"/>
      <c r="U38" s="6" t="s">
        <v>0</v>
      </c>
      <c r="V38" s="13"/>
      <c r="W38" s="15"/>
      <c r="X38" s="19">
        <f>SUM(X29:X36)</f>
        <v>6.8375585367108584</v>
      </c>
      <c r="Y38" s="20"/>
      <c r="Z38" s="6" t="s">
        <v>0</v>
      </c>
      <c r="AA38" s="13"/>
      <c r="AB38" s="15"/>
      <c r="AC38" s="19">
        <f>SUM(AC29:AC36)</f>
        <v>6.5595496452684365</v>
      </c>
      <c r="AE38" s="6" t="s">
        <v>0</v>
      </c>
      <c r="AF38" s="13"/>
      <c r="AG38" s="15"/>
      <c r="AH38" s="19">
        <f>SUM(AH29:AH34)</f>
        <v>11.737113372322362</v>
      </c>
      <c r="AJ38" s="6" t="s">
        <v>0</v>
      </c>
      <c r="AK38" s="13"/>
      <c r="AL38" s="15"/>
      <c r="AM38" s="19">
        <f>SUM(AM29:AM37)</f>
        <v>15.590402812698304</v>
      </c>
    </row>
    <row r="39" spans="1:39" ht="15.5" x14ac:dyDescent="0.35">
      <c r="A39" s="7"/>
      <c r="B39" s="13"/>
      <c r="C39" s="15"/>
      <c r="D39" s="20"/>
      <c r="E39" s="13"/>
      <c r="F39" s="22"/>
      <c r="G39" s="22"/>
      <c r="H39" s="22"/>
      <c r="I39" s="22"/>
      <c r="J39" s="22"/>
      <c r="K39" s="22"/>
      <c r="L39" s="22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39" ht="15.5" x14ac:dyDescent="0.35">
      <c r="A40" s="7" t="s">
        <v>3</v>
      </c>
      <c r="B40" s="78" t="s">
        <v>213</v>
      </c>
      <c r="C40" s="15"/>
      <c r="D40" s="20"/>
    </row>
    <row r="41" spans="1:39" ht="15.5" x14ac:dyDescent="0.35">
      <c r="A41" s="6"/>
      <c r="B41" s="7" t="s">
        <v>1</v>
      </c>
      <c r="C41" s="8" t="s">
        <v>2</v>
      </c>
      <c r="D41" s="9" t="s">
        <v>4</v>
      </c>
      <c r="E41" s="13"/>
      <c r="F41" s="7"/>
      <c r="G41" s="3"/>
      <c r="H41" s="4"/>
      <c r="I41" s="4"/>
      <c r="J41" s="13"/>
      <c r="K41" s="7" t="s">
        <v>3</v>
      </c>
      <c r="L41" s="47" t="s">
        <v>221</v>
      </c>
      <c r="M41" s="48"/>
      <c r="N41" s="49"/>
      <c r="O41" s="49"/>
      <c r="P41" s="49"/>
      <c r="Q41" s="49"/>
      <c r="R41" s="49"/>
      <c r="S41" s="49"/>
      <c r="U41" s="7" t="s">
        <v>3</v>
      </c>
      <c r="V41" s="47" t="s">
        <v>222</v>
      </c>
      <c r="W41" s="48"/>
      <c r="X41" s="49"/>
      <c r="Y41" s="49"/>
      <c r="Z41" s="7" t="s">
        <v>3</v>
      </c>
      <c r="AA41" s="78" t="s">
        <v>227</v>
      </c>
      <c r="AB41" s="15"/>
      <c r="AC41" s="20"/>
    </row>
    <row r="42" spans="1:39" ht="15.5" x14ac:dyDescent="0.35">
      <c r="A42" s="6" t="s">
        <v>44</v>
      </c>
      <c r="B42" s="28"/>
      <c r="C42" s="10">
        <f>'Pastry Costing'!$C$23</f>
        <v>5.8925938566552892E-2</v>
      </c>
      <c r="D42" s="11">
        <f>C42</f>
        <v>5.8925938566552892E-2</v>
      </c>
      <c r="E42" s="13"/>
      <c r="F42" s="7"/>
      <c r="G42" s="5"/>
      <c r="H42" s="4"/>
      <c r="I42" s="4"/>
      <c r="J42" s="13"/>
      <c r="K42" s="6"/>
      <c r="L42" s="7" t="s">
        <v>1</v>
      </c>
      <c r="M42" s="8" t="s">
        <v>2</v>
      </c>
      <c r="N42" s="9" t="s">
        <v>4</v>
      </c>
      <c r="O42" s="8"/>
      <c r="P42" s="8"/>
      <c r="Q42" s="8"/>
      <c r="R42" s="8"/>
      <c r="S42" s="8"/>
      <c r="U42" s="6"/>
      <c r="V42" s="7" t="s">
        <v>1</v>
      </c>
      <c r="W42" s="8" t="s">
        <v>2</v>
      </c>
      <c r="X42" s="9" t="s">
        <v>4</v>
      </c>
      <c r="Y42" s="8"/>
      <c r="Z42" s="6"/>
      <c r="AA42" s="7" t="s">
        <v>1</v>
      </c>
      <c r="AB42" s="8" t="s">
        <v>2</v>
      </c>
      <c r="AC42" s="9" t="s">
        <v>4</v>
      </c>
    </row>
    <row r="43" spans="1:39" ht="15.5" x14ac:dyDescent="0.35">
      <c r="A43" s="6" t="s">
        <v>45</v>
      </c>
      <c r="B43" s="28">
        <v>5.5E-2</v>
      </c>
      <c r="C43" s="10">
        <f>$I$25</f>
        <v>20.820675905122883</v>
      </c>
      <c r="D43" s="11">
        <f>B43*C43</f>
        <v>1.1451371747817585</v>
      </c>
      <c r="E43" s="13"/>
      <c r="F43" s="7"/>
      <c r="G43" s="5"/>
      <c r="H43" s="4"/>
      <c r="I43" s="4"/>
      <c r="J43" s="13"/>
      <c r="K43" s="6" t="s">
        <v>138</v>
      </c>
      <c r="L43" s="28">
        <v>5</v>
      </c>
      <c r="M43" s="10">
        <f>$N$38</f>
        <v>3.264943090881026</v>
      </c>
      <c r="N43" s="11">
        <f>L43*M43</f>
        <v>16.32471545440513</v>
      </c>
      <c r="O43" s="74"/>
      <c r="P43" s="74"/>
      <c r="Q43" s="74"/>
      <c r="R43" s="74"/>
      <c r="S43" s="74"/>
      <c r="U43" s="6" t="s">
        <v>138</v>
      </c>
      <c r="V43" s="28">
        <v>4</v>
      </c>
      <c r="W43" s="10">
        <f>$X$38</f>
        <v>6.8375585367108584</v>
      </c>
      <c r="X43" s="11">
        <f>V43*W43</f>
        <v>27.350234146843434</v>
      </c>
      <c r="Y43" s="74"/>
      <c r="Z43" s="6" t="s">
        <v>44</v>
      </c>
      <c r="AA43" s="28"/>
      <c r="AB43" s="10">
        <f>'Pastry Costing'!C39</f>
        <v>0</v>
      </c>
      <c r="AC43" s="11">
        <f>AB43</f>
        <v>0</v>
      </c>
    </row>
    <row r="44" spans="1:39" ht="15.5" x14ac:dyDescent="0.35">
      <c r="A44" s="7" t="s">
        <v>214</v>
      </c>
      <c r="B44" s="28">
        <v>0.01</v>
      </c>
      <c r="C44" s="10">
        <f>ROM!$D$22</f>
        <v>8.0357894736842095</v>
      </c>
      <c r="D44" s="10">
        <f>B44*C44</f>
        <v>8.03578947368421E-2</v>
      </c>
      <c r="E44" s="13"/>
      <c r="F44" s="7"/>
      <c r="G44" s="7"/>
      <c r="H44" s="8"/>
      <c r="I44" s="8"/>
      <c r="J44" s="13"/>
      <c r="K44" s="6" t="s">
        <v>94</v>
      </c>
      <c r="L44" s="28">
        <v>1</v>
      </c>
      <c r="M44" s="10">
        <f>'Ingredient Cost'!$D$86</f>
        <v>0.12</v>
      </c>
      <c r="N44" s="11">
        <f>L44*M44</f>
        <v>0.12</v>
      </c>
      <c r="O44" s="74"/>
      <c r="P44" s="74"/>
      <c r="Q44" s="74"/>
      <c r="R44" s="74"/>
      <c r="S44" s="74"/>
      <c r="U44" s="6" t="s">
        <v>94</v>
      </c>
      <c r="V44" s="28">
        <v>1</v>
      </c>
      <c r="W44" s="10">
        <f>'Ingredient Cost'!$D$86</f>
        <v>0.12</v>
      </c>
      <c r="X44" s="11">
        <f>V44*W44</f>
        <v>0.12</v>
      </c>
      <c r="Y44" s="74"/>
      <c r="Z44" s="6" t="s">
        <v>45</v>
      </c>
      <c r="AA44" s="28">
        <v>0.28000000000000003</v>
      </c>
      <c r="AB44" s="10">
        <f>N39</f>
        <v>0</v>
      </c>
      <c r="AC44" s="11">
        <f>AA44*AB44</f>
        <v>0</v>
      </c>
    </row>
    <row r="45" spans="1:39" ht="15.5" x14ac:dyDescent="0.35">
      <c r="A45" s="7" t="s">
        <v>106</v>
      </c>
      <c r="B45" s="28">
        <v>1</v>
      </c>
      <c r="C45" s="10">
        <f>'Ingredient Cost'!$D$98</f>
        <v>0.02</v>
      </c>
      <c r="D45" s="10">
        <f>B45*C45</f>
        <v>0.02</v>
      </c>
      <c r="E45" s="13"/>
      <c r="F45" s="7"/>
      <c r="G45" s="13"/>
      <c r="H45" s="15"/>
      <c r="I45" s="74"/>
      <c r="J45" s="13"/>
      <c r="K45" s="6" t="s">
        <v>139</v>
      </c>
      <c r="L45" s="28">
        <v>5</v>
      </c>
      <c r="M45" s="10">
        <f>'Ingredient Cost'!$D$89</f>
        <v>0.06</v>
      </c>
      <c r="N45" s="10">
        <f>L45*M45</f>
        <v>0.3</v>
      </c>
      <c r="O45" s="15"/>
      <c r="P45" s="15"/>
      <c r="Q45" s="15"/>
      <c r="R45" s="15"/>
      <c r="S45" s="15"/>
      <c r="U45" s="6" t="s">
        <v>139</v>
      </c>
      <c r="V45" s="28">
        <v>4</v>
      </c>
      <c r="W45" s="10">
        <f>'Ingredient Cost'!$D$90</f>
        <v>0.22</v>
      </c>
      <c r="X45" s="10">
        <f>V45*W45</f>
        <v>0.88</v>
      </c>
      <c r="Y45" s="15"/>
      <c r="Z45" s="6" t="s">
        <v>47</v>
      </c>
      <c r="AA45" s="28">
        <v>0.03</v>
      </c>
      <c r="AB45" s="10">
        <f>'Ingredient Cost'!D93</f>
        <v>0.04</v>
      </c>
      <c r="AC45" s="10">
        <f>AA45*AB45</f>
        <v>1.1999999999999999E-3</v>
      </c>
    </row>
    <row r="46" spans="1:39" ht="15.5" x14ac:dyDescent="0.35">
      <c r="A46" s="7" t="s">
        <v>180</v>
      </c>
      <c r="B46" s="28">
        <v>240</v>
      </c>
      <c r="C46" s="10">
        <v>15</v>
      </c>
      <c r="D46" s="10">
        <f>C46/B46</f>
        <v>6.25E-2</v>
      </c>
      <c r="E46" s="13"/>
      <c r="F46" s="7"/>
      <c r="G46" s="13"/>
      <c r="H46" s="15"/>
      <c r="I46" s="74"/>
      <c r="J46" s="13"/>
      <c r="K46" s="7" t="s">
        <v>66</v>
      </c>
      <c r="L46" s="28">
        <v>1</v>
      </c>
      <c r="M46" s="10">
        <f>'Ingredient Cost'!$D$109</f>
        <v>0.27</v>
      </c>
      <c r="N46" s="10">
        <f>L46*M46</f>
        <v>0.27</v>
      </c>
      <c r="O46" s="15"/>
      <c r="P46" s="15"/>
      <c r="Q46" s="15"/>
      <c r="R46" s="15"/>
      <c r="S46" s="15"/>
      <c r="U46" s="7" t="s">
        <v>66</v>
      </c>
      <c r="V46" s="28">
        <v>1</v>
      </c>
      <c r="W46" s="10">
        <f>'Ingredient Cost'!$D$109</f>
        <v>0.27</v>
      </c>
      <c r="X46" s="10">
        <f>V46*W46</f>
        <v>0.27</v>
      </c>
      <c r="Y46" s="15"/>
      <c r="Z46" s="7" t="s">
        <v>46</v>
      </c>
      <c r="AA46" s="28"/>
      <c r="AB46" s="10">
        <f>'Pastry Costing'!E39</f>
        <v>0</v>
      </c>
      <c r="AC46" s="10">
        <f>AB46</f>
        <v>0</v>
      </c>
    </row>
    <row r="47" spans="1:39" ht="15.5" x14ac:dyDescent="0.35">
      <c r="A47" s="7" t="s">
        <v>139</v>
      </c>
      <c r="B47" s="28">
        <v>1</v>
      </c>
      <c r="C47" s="10">
        <v>0.01</v>
      </c>
      <c r="D47" s="10">
        <f>C47/B47</f>
        <v>0.01</v>
      </c>
      <c r="E47" s="13"/>
      <c r="F47" s="7"/>
      <c r="G47" s="13"/>
      <c r="H47" s="15"/>
      <c r="I47" s="15"/>
      <c r="J47" s="13"/>
      <c r="K47" s="7" t="s">
        <v>180</v>
      </c>
      <c r="L47" s="28">
        <v>20</v>
      </c>
      <c r="M47" s="10">
        <v>15</v>
      </c>
      <c r="N47" s="10">
        <f>M47/L47</f>
        <v>0.75</v>
      </c>
      <c r="O47" s="15"/>
      <c r="P47" s="15"/>
      <c r="Q47" s="15"/>
      <c r="R47" s="15"/>
      <c r="S47" s="15"/>
      <c r="U47" s="7" t="s">
        <v>180</v>
      </c>
      <c r="V47" s="28">
        <v>20</v>
      </c>
      <c r="W47" s="10">
        <v>15</v>
      </c>
      <c r="X47" s="10">
        <f>W47/V47</f>
        <v>0.75</v>
      </c>
      <c r="Y47" s="15"/>
      <c r="Z47" s="7" t="s">
        <v>106</v>
      </c>
      <c r="AA47" s="28"/>
      <c r="AB47" s="10">
        <f>'Ingredient Cost'!D117</f>
        <v>0</v>
      </c>
      <c r="AC47" s="10">
        <f>AB47</f>
        <v>0</v>
      </c>
    </row>
    <row r="48" spans="1:39" ht="15.5" x14ac:dyDescent="0.35">
      <c r="A48" s="7" t="s">
        <v>220</v>
      </c>
      <c r="B48" s="28">
        <v>240</v>
      </c>
      <c r="C48" s="10">
        <v>15</v>
      </c>
      <c r="D48" s="10">
        <f>C48/B48</f>
        <v>6.25E-2</v>
      </c>
      <c r="E48" s="13"/>
      <c r="F48" s="7"/>
      <c r="G48" s="13"/>
      <c r="H48" s="15"/>
      <c r="I48" s="15"/>
      <c r="J48" s="13"/>
      <c r="K48" s="7"/>
      <c r="L48" s="28"/>
      <c r="M48" s="10"/>
      <c r="N48" s="10"/>
      <c r="O48" s="15"/>
      <c r="P48" s="15"/>
      <c r="Q48" s="15"/>
      <c r="R48" s="15"/>
      <c r="S48" s="15"/>
      <c r="U48" s="7"/>
      <c r="V48" s="28"/>
      <c r="W48" s="10"/>
      <c r="X48" s="10"/>
      <c r="Y48" s="15"/>
      <c r="Z48" s="7" t="s">
        <v>140</v>
      </c>
      <c r="AA48" s="28">
        <v>200</v>
      </c>
      <c r="AB48" s="10">
        <v>15</v>
      </c>
      <c r="AC48" s="10">
        <f>AB48/AA48</f>
        <v>7.4999999999999997E-2</v>
      </c>
    </row>
    <row r="49" spans="1:29" ht="15.5" x14ac:dyDescent="0.35">
      <c r="A49" s="7"/>
      <c r="B49" s="12"/>
      <c r="C49" s="10"/>
      <c r="D49" s="10"/>
      <c r="E49" s="13"/>
      <c r="F49" s="7"/>
      <c r="G49" s="13"/>
      <c r="H49" s="15"/>
      <c r="I49" s="15"/>
      <c r="J49" s="13"/>
      <c r="K49" s="7"/>
      <c r="L49" s="28"/>
      <c r="M49" s="10"/>
      <c r="N49" s="10"/>
      <c r="O49" s="15"/>
      <c r="P49" s="15"/>
      <c r="Q49" s="15"/>
      <c r="R49" s="15"/>
      <c r="S49" s="15"/>
      <c r="U49" s="7"/>
      <c r="V49" s="28"/>
      <c r="W49" s="10"/>
      <c r="X49" s="10"/>
      <c r="Y49" s="15"/>
      <c r="Z49" s="7"/>
      <c r="AA49" s="28"/>
      <c r="AB49" s="10"/>
      <c r="AC49" s="10"/>
    </row>
    <row r="50" spans="1:29" ht="15.5" x14ac:dyDescent="0.35">
      <c r="A50" s="13"/>
      <c r="B50" s="13"/>
      <c r="C50" s="15"/>
      <c r="D50" s="14"/>
      <c r="E50" s="13"/>
      <c r="F50" s="7"/>
      <c r="G50" s="13"/>
      <c r="H50" s="15"/>
      <c r="I50" s="15"/>
      <c r="J50" s="13"/>
      <c r="K50" s="7"/>
      <c r="L50" s="12"/>
      <c r="M50" s="10"/>
      <c r="N50" s="10"/>
      <c r="O50" s="15"/>
      <c r="P50" s="15"/>
      <c r="Q50" s="15"/>
      <c r="R50" s="15"/>
      <c r="S50" s="15"/>
      <c r="U50" s="7"/>
      <c r="V50" s="12"/>
      <c r="W50" s="10"/>
      <c r="X50" s="10"/>
      <c r="Y50" s="15"/>
      <c r="Z50" s="7"/>
      <c r="AA50" s="12"/>
      <c r="AB50" s="10"/>
      <c r="AC50" s="10"/>
    </row>
    <row r="51" spans="1:29" ht="15.5" x14ac:dyDescent="0.35">
      <c r="A51" s="6" t="s">
        <v>0</v>
      </c>
      <c r="B51" s="13"/>
      <c r="C51" s="15"/>
      <c r="D51" s="19">
        <f>SUM(D42:D48)</f>
        <v>1.4394210080851535</v>
      </c>
      <c r="E51" s="13"/>
      <c r="F51" s="7"/>
      <c r="G51" s="13"/>
      <c r="H51" s="15"/>
      <c r="I51" s="15"/>
      <c r="J51" s="13"/>
      <c r="K51" s="13"/>
      <c r="L51" s="13"/>
      <c r="M51" s="15"/>
      <c r="N51" s="14"/>
      <c r="O51" s="15"/>
      <c r="P51" s="15"/>
      <c r="Q51" s="15"/>
      <c r="R51" s="15"/>
      <c r="S51" s="15"/>
      <c r="U51" s="13"/>
      <c r="V51" s="13"/>
      <c r="W51" s="15"/>
      <c r="X51" s="14"/>
      <c r="Y51" s="15"/>
      <c r="Z51" s="13"/>
      <c r="AA51" s="13"/>
      <c r="AB51" s="15"/>
      <c r="AC51" s="14"/>
    </row>
    <row r="52" spans="1:29" ht="15.5" x14ac:dyDescent="0.35">
      <c r="A52" s="92"/>
      <c r="B52" s="94"/>
      <c r="C52" s="95"/>
      <c r="D52" s="96"/>
      <c r="E52" s="13"/>
      <c r="F52" s="13"/>
      <c r="G52" s="13"/>
      <c r="H52" s="15"/>
      <c r="I52" s="15"/>
      <c r="J52" s="13"/>
      <c r="K52" s="6" t="s">
        <v>0</v>
      </c>
      <c r="L52" s="13"/>
      <c r="M52" s="15"/>
      <c r="N52" s="19">
        <f>N43+N44+N45+N46+N47</f>
        <v>17.764715454405131</v>
      </c>
      <c r="O52" s="20"/>
      <c r="P52" s="20"/>
      <c r="Q52" s="20"/>
      <c r="R52" s="20"/>
      <c r="S52" s="20"/>
      <c r="U52" s="6" t="s">
        <v>0</v>
      </c>
      <c r="V52" s="13"/>
      <c r="W52" s="15"/>
      <c r="X52" s="19">
        <f>X43+X44+X45+X46+X47</f>
        <v>29.370234146843433</v>
      </c>
      <c r="Y52" s="20"/>
      <c r="Z52" s="6" t="s">
        <v>0</v>
      </c>
      <c r="AA52" s="13"/>
      <c r="AB52" s="15"/>
      <c r="AC52" s="19">
        <f>SUM(AC43:AC50)</f>
        <v>7.6200000000000004E-2</v>
      </c>
    </row>
    <row r="53" spans="1:29" ht="15.5" x14ac:dyDescent="0.35">
      <c r="A53" s="7" t="s">
        <v>3</v>
      </c>
      <c r="B53" s="78" t="s">
        <v>215</v>
      </c>
      <c r="C53" s="15"/>
      <c r="D53" s="20"/>
      <c r="E53" s="13"/>
      <c r="F53" s="7"/>
      <c r="G53" s="13"/>
      <c r="H53" s="15"/>
      <c r="I53" s="20"/>
      <c r="J53" s="13"/>
      <c r="K53" s="7" t="s">
        <v>182</v>
      </c>
      <c r="N53" s="74">
        <f>N52/5</f>
        <v>3.5529430908810262</v>
      </c>
      <c r="O53" s="74"/>
      <c r="P53" s="74"/>
      <c r="Q53" s="74"/>
      <c r="R53" s="74"/>
      <c r="S53" s="74"/>
      <c r="U53" s="7" t="s">
        <v>182</v>
      </c>
      <c r="X53" s="74">
        <f>X52/4</f>
        <v>7.3425585367108583</v>
      </c>
      <c r="Y53" s="74"/>
      <c r="Z53" s="74"/>
      <c r="AA53" s="74"/>
      <c r="AB53" s="74"/>
      <c r="AC53" s="74"/>
    </row>
    <row r="54" spans="1:29" ht="15.5" x14ac:dyDescent="0.35">
      <c r="A54" s="6"/>
      <c r="B54" s="7" t="s">
        <v>1</v>
      </c>
      <c r="C54" s="8" t="s">
        <v>2</v>
      </c>
      <c r="D54" s="9" t="s">
        <v>4</v>
      </c>
    </row>
    <row r="55" spans="1:29" ht="15.5" x14ac:dyDescent="0.35">
      <c r="A55" s="6" t="s">
        <v>44</v>
      </c>
      <c r="B55" s="28"/>
      <c r="C55" s="10">
        <f>'Pastry Costing'!$C$23</f>
        <v>5.8925938566552892E-2</v>
      </c>
      <c r="D55" s="11">
        <f>C55</f>
        <v>5.8925938566552892E-2</v>
      </c>
    </row>
    <row r="56" spans="1:29" ht="15.5" x14ac:dyDescent="0.35">
      <c r="A56" s="6" t="s">
        <v>45</v>
      </c>
      <c r="B56" s="28">
        <v>5.5E-2</v>
      </c>
      <c r="C56" s="10">
        <f>$I$25</f>
        <v>20.820675905122883</v>
      </c>
      <c r="D56" s="11">
        <f>B56*C56</f>
        <v>1.1451371747817585</v>
      </c>
    </row>
    <row r="57" spans="1:29" ht="15.5" x14ac:dyDescent="0.35">
      <c r="A57" s="7" t="s">
        <v>214</v>
      </c>
      <c r="B57" s="28">
        <v>0.01</v>
      </c>
      <c r="C57" s="10"/>
      <c r="D57" s="10">
        <f>C57</f>
        <v>0</v>
      </c>
    </row>
    <row r="58" spans="1:29" ht="15.5" x14ac:dyDescent="0.35">
      <c r="A58" s="7" t="s">
        <v>62</v>
      </c>
      <c r="B58" s="28">
        <v>0.01</v>
      </c>
      <c r="C58" s="10">
        <f>'Ingredient Cost'!D18</f>
        <v>4.75</v>
      </c>
      <c r="D58" s="10">
        <f>B58*C58</f>
        <v>4.7500000000000001E-2</v>
      </c>
    </row>
    <row r="59" spans="1:29" ht="15.5" x14ac:dyDescent="0.35">
      <c r="A59" s="7" t="s">
        <v>106</v>
      </c>
      <c r="B59" s="28">
        <v>1</v>
      </c>
      <c r="C59" s="10">
        <f>'Ingredient Cost'!D98</f>
        <v>0.02</v>
      </c>
      <c r="D59" s="10">
        <f>B59*C59</f>
        <v>0.02</v>
      </c>
    </row>
    <row r="60" spans="1:29" ht="15.5" x14ac:dyDescent="0.35">
      <c r="A60" s="7" t="s">
        <v>180</v>
      </c>
      <c r="B60" s="28">
        <v>240</v>
      </c>
      <c r="C60" s="10">
        <v>15</v>
      </c>
      <c r="D60" s="10">
        <f>C60/B60</f>
        <v>6.25E-2</v>
      </c>
    </row>
    <row r="61" spans="1:29" ht="15.5" x14ac:dyDescent="0.35">
      <c r="A61" s="7" t="s">
        <v>139</v>
      </c>
      <c r="B61" s="28">
        <v>1</v>
      </c>
      <c r="C61" s="10">
        <v>0.01</v>
      </c>
      <c r="D61" s="10">
        <f>C61/B61</f>
        <v>0.01</v>
      </c>
    </row>
    <row r="62" spans="1:29" ht="15.5" x14ac:dyDescent="0.35">
      <c r="A62" s="7" t="s">
        <v>220</v>
      </c>
      <c r="B62" s="28">
        <v>240</v>
      </c>
      <c r="C62" s="10">
        <v>15</v>
      </c>
      <c r="D62" s="10">
        <f>C62/B62</f>
        <v>6.25E-2</v>
      </c>
    </row>
    <row r="63" spans="1:29" ht="15.5" x14ac:dyDescent="0.35">
      <c r="A63" s="7"/>
      <c r="B63" s="12"/>
      <c r="C63" s="10"/>
      <c r="D63" s="10"/>
    </row>
    <row r="64" spans="1:29" ht="13" x14ac:dyDescent="0.3">
      <c r="A64" s="13"/>
      <c r="B64" s="13"/>
      <c r="C64" s="15"/>
      <c r="D64" s="14"/>
    </row>
    <row r="65" spans="1:4" ht="15.5" x14ac:dyDescent="0.35">
      <c r="A65" s="6" t="s">
        <v>0</v>
      </c>
      <c r="B65" s="13"/>
      <c r="C65" s="15"/>
      <c r="D65" s="19">
        <f>SUM(D55:D61)</f>
        <v>1.3440631133483114</v>
      </c>
    </row>
    <row r="67" spans="1:4" ht="15.5" x14ac:dyDescent="0.35">
      <c r="A67" s="7" t="s">
        <v>3</v>
      </c>
      <c r="B67" s="78" t="s">
        <v>216</v>
      </c>
      <c r="C67" s="15"/>
      <c r="D67" s="20"/>
    </row>
    <row r="68" spans="1:4" ht="15.5" x14ac:dyDescent="0.35">
      <c r="A68" s="6"/>
      <c r="B68" s="7" t="s">
        <v>1</v>
      </c>
      <c r="C68" s="8" t="s">
        <v>2</v>
      </c>
      <c r="D68" s="9" t="s">
        <v>4</v>
      </c>
    </row>
    <row r="69" spans="1:4" ht="15.5" x14ac:dyDescent="0.35">
      <c r="A69" s="6" t="s">
        <v>44</v>
      </c>
      <c r="B69" s="28"/>
      <c r="C69" s="10">
        <f>'Pastry Costing'!C23</f>
        <v>5.8925938566552892E-2</v>
      </c>
      <c r="D69" s="11">
        <f>C69</f>
        <v>5.8925938566552892E-2</v>
      </c>
    </row>
    <row r="70" spans="1:4" ht="15.5" x14ac:dyDescent="0.35">
      <c r="A70" s="6" t="s">
        <v>45</v>
      </c>
      <c r="B70" s="28">
        <v>5.5E-2</v>
      </c>
      <c r="C70" s="10">
        <f>I25</f>
        <v>20.820675905122883</v>
      </c>
      <c r="D70" s="11">
        <f>B70*C70</f>
        <v>1.1451371747817585</v>
      </c>
    </row>
    <row r="71" spans="1:4" ht="15.5" x14ac:dyDescent="0.35">
      <c r="A71" s="7" t="s">
        <v>219</v>
      </c>
      <c r="B71" s="28">
        <v>0.01</v>
      </c>
      <c r="C71" s="10">
        <f>'Ingredient Cost'!D19</f>
        <v>25.2</v>
      </c>
      <c r="D71" s="10">
        <f>B71*C71</f>
        <v>0.252</v>
      </c>
    </row>
    <row r="72" spans="1:4" ht="15.5" x14ac:dyDescent="0.35">
      <c r="A72" s="7" t="s">
        <v>218</v>
      </c>
      <c r="B72" s="28">
        <v>0.01</v>
      </c>
      <c r="C72" s="10">
        <f>'Ingredient Cost'!D36</f>
        <v>7.01</v>
      </c>
      <c r="D72" s="10">
        <f>B72*C72</f>
        <v>7.0099999999999996E-2</v>
      </c>
    </row>
    <row r="73" spans="1:4" ht="15.5" x14ac:dyDescent="0.35">
      <c r="A73" s="7" t="s">
        <v>106</v>
      </c>
      <c r="B73" s="28">
        <v>1</v>
      </c>
      <c r="C73" s="10">
        <f>'Ingredient Cost'!D98</f>
        <v>0.02</v>
      </c>
      <c r="D73" s="10">
        <f>B73*C73</f>
        <v>0.02</v>
      </c>
    </row>
    <row r="74" spans="1:4" ht="15.5" x14ac:dyDescent="0.35">
      <c r="A74" s="7" t="s">
        <v>180</v>
      </c>
      <c r="B74" s="28">
        <v>240</v>
      </c>
      <c r="C74" s="10">
        <v>15</v>
      </c>
      <c r="D74" s="10">
        <f>C74/B74</f>
        <v>6.25E-2</v>
      </c>
    </row>
    <row r="75" spans="1:4" ht="15.5" x14ac:dyDescent="0.35">
      <c r="A75" s="7" t="s">
        <v>139</v>
      </c>
      <c r="B75" s="28">
        <v>1</v>
      </c>
      <c r="C75" s="10">
        <v>0.01</v>
      </c>
      <c r="D75" s="10">
        <f>C75/B75</f>
        <v>0.01</v>
      </c>
    </row>
    <row r="76" spans="1:4" ht="15.5" x14ac:dyDescent="0.35">
      <c r="A76" s="7" t="s">
        <v>220</v>
      </c>
      <c r="B76" s="28">
        <v>240</v>
      </c>
      <c r="C76" s="10">
        <v>15</v>
      </c>
      <c r="D76" s="10">
        <f>C76/B76</f>
        <v>6.25E-2</v>
      </c>
    </row>
    <row r="77" spans="1:4" ht="15.5" x14ac:dyDescent="0.35">
      <c r="A77" s="7"/>
      <c r="B77" s="12"/>
      <c r="C77" s="10"/>
      <c r="D77" s="10"/>
    </row>
    <row r="78" spans="1:4" ht="13" x14ac:dyDescent="0.3">
      <c r="A78" s="13"/>
      <c r="B78" s="13"/>
      <c r="C78" s="15"/>
      <c r="D78" s="14"/>
    </row>
    <row r="79" spans="1:4" ht="15.5" x14ac:dyDescent="0.35">
      <c r="A79" s="6" t="s">
        <v>0</v>
      </c>
      <c r="B79" s="13"/>
      <c r="C79" s="15"/>
      <c r="D79" s="19">
        <f>SUM(D69:D75)</f>
        <v>1.6186631133483114</v>
      </c>
    </row>
    <row r="81" spans="1:4" ht="15.5" x14ac:dyDescent="0.35">
      <c r="A81" s="7" t="s">
        <v>3</v>
      </c>
      <c r="B81" s="78" t="s">
        <v>217</v>
      </c>
      <c r="C81" s="15"/>
      <c r="D81" s="20"/>
    </row>
    <row r="82" spans="1:4" ht="15.5" x14ac:dyDescent="0.35">
      <c r="A82" s="6"/>
      <c r="B82" s="7" t="s">
        <v>1</v>
      </c>
      <c r="C82" s="8" t="s">
        <v>2</v>
      </c>
      <c r="D82" s="9" t="s">
        <v>4</v>
      </c>
    </row>
    <row r="83" spans="1:4" ht="15.5" x14ac:dyDescent="0.35">
      <c r="A83" s="6" t="s">
        <v>44</v>
      </c>
      <c r="B83" s="28"/>
      <c r="C83" s="10">
        <f>'Pastry Costing'!C23</f>
        <v>5.8925938566552892E-2</v>
      </c>
      <c r="D83" s="11">
        <f>C83</f>
        <v>5.8925938566552892E-2</v>
      </c>
    </row>
    <row r="84" spans="1:4" ht="15.5" x14ac:dyDescent="0.35">
      <c r="A84" s="6" t="s">
        <v>45</v>
      </c>
      <c r="B84" s="28">
        <v>5.5E-2</v>
      </c>
      <c r="C84" s="10">
        <f>I25</f>
        <v>20.820675905122883</v>
      </c>
      <c r="D84" s="11">
        <f>B84*C84</f>
        <v>1.1451371747817585</v>
      </c>
    </row>
    <row r="85" spans="1:4" ht="15.5" x14ac:dyDescent="0.35">
      <c r="A85" s="7" t="s">
        <v>218</v>
      </c>
      <c r="B85" s="28">
        <v>0.02</v>
      </c>
      <c r="C85" s="10">
        <f>'Ingredient Cost'!D36</f>
        <v>7.01</v>
      </c>
      <c r="D85" s="10">
        <f>B85*C85</f>
        <v>0.14019999999999999</v>
      </c>
    </row>
    <row r="86" spans="1:4" ht="15.5" x14ac:dyDescent="0.35">
      <c r="A86" s="7" t="s">
        <v>106</v>
      </c>
      <c r="B86" s="28">
        <v>1</v>
      </c>
      <c r="C86" s="10">
        <f>'Ingredient Cost'!D98</f>
        <v>0.02</v>
      </c>
      <c r="D86" s="10">
        <f>B86*C86</f>
        <v>0.02</v>
      </c>
    </row>
    <row r="87" spans="1:4" ht="15.5" x14ac:dyDescent="0.35">
      <c r="A87" s="7" t="s">
        <v>180</v>
      </c>
      <c r="B87" s="28">
        <v>240</v>
      </c>
      <c r="C87" s="10">
        <v>15</v>
      </c>
      <c r="D87" s="10">
        <f>C87/B87</f>
        <v>6.25E-2</v>
      </c>
    </row>
    <row r="88" spans="1:4" ht="15.5" x14ac:dyDescent="0.35">
      <c r="A88" s="7" t="s">
        <v>139</v>
      </c>
      <c r="B88" s="28">
        <v>1</v>
      </c>
      <c r="C88" s="10">
        <v>0.01</v>
      </c>
      <c r="D88" s="10">
        <f>C88/B88</f>
        <v>0.01</v>
      </c>
    </row>
    <row r="89" spans="1:4" ht="15.5" x14ac:dyDescent="0.35">
      <c r="A89" s="7" t="s">
        <v>220</v>
      </c>
      <c r="B89" s="28">
        <v>240</v>
      </c>
      <c r="C89" s="10">
        <v>15</v>
      </c>
      <c r="D89" s="10">
        <f>C89/B89</f>
        <v>6.25E-2</v>
      </c>
    </row>
    <row r="90" spans="1:4" ht="15.5" x14ac:dyDescent="0.35">
      <c r="A90" s="7"/>
      <c r="B90" s="12"/>
      <c r="C90" s="10"/>
      <c r="D90" s="10"/>
    </row>
    <row r="91" spans="1:4" ht="13" x14ac:dyDescent="0.3">
      <c r="A91" s="13"/>
      <c r="B91" s="13"/>
      <c r="C91" s="15"/>
      <c r="D91" s="14"/>
    </row>
    <row r="92" spans="1:4" ht="15.5" x14ac:dyDescent="0.35">
      <c r="A92" s="6" t="s">
        <v>0</v>
      </c>
      <c r="B92" s="13"/>
      <c r="C92" s="15"/>
      <c r="D92" s="19">
        <f>SUM(D83:D88)</f>
        <v>1.4367631133483114</v>
      </c>
    </row>
  </sheetData>
  <mergeCells count="4">
    <mergeCell ref="A1:V1"/>
    <mergeCell ref="A2:V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93"/>
  <sheetViews>
    <sheetView workbookViewId="0">
      <selection activeCell="F34" sqref="F34"/>
    </sheetView>
  </sheetViews>
  <sheetFormatPr defaultRowHeight="12.5" x14ac:dyDescent="0.25"/>
  <cols>
    <col min="1" max="1" width="17.81640625" customWidth="1"/>
    <col min="5" max="5" width="11.453125" customWidth="1"/>
    <col min="6" max="6" width="19.1796875" customWidth="1"/>
    <col min="11" max="11" width="17.1796875" customWidth="1"/>
    <col min="16" max="16" width="12.81640625" customWidth="1"/>
    <col min="21" max="21" width="15" customWidth="1"/>
    <col min="26" max="26" width="11.54296875" customWidth="1"/>
    <col min="31" max="31" width="12" customWidth="1"/>
    <col min="36" max="36" width="11.54296875" customWidth="1"/>
  </cols>
  <sheetData>
    <row r="1" spans="1:22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</row>
    <row r="2" spans="1:22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</row>
    <row r="3" spans="1:22" ht="26" x14ac:dyDescent="0.25">
      <c r="A3" s="249" t="s">
        <v>273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3" x14ac:dyDescent="0.3">
      <c r="A14" s="26"/>
      <c r="B14" s="257"/>
      <c r="C14" s="258"/>
      <c r="D14" s="258"/>
      <c r="E14" s="258"/>
      <c r="F14" s="255"/>
      <c r="G14" s="255"/>
      <c r="H14" s="256"/>
      <c r="I14" s="22"/>
      <c r="J14" s="22"/>
      <c r="K14" s="22"/>
      <c r="L14" s="2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15.5" x14ac:dyDescent="0.35">
      <c r="A15" s="7"/>
      <c r="B15" s="13"/>
      <c r="C15" s="15"/>
      <c r="D15" s="20"/>
      <c r="E15" s="13"/>
      <c r="F15" s="22"/>
      <c r="G15" s="22"/>
      <c r="H15" s="22"/>
      <c r="I15" s="22"/>
      <c r="J15" s="22"/>
      <c r="K15" s="22"/>
      <c r="L15" s="22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15.5" x14ac:dyDescent="0.35">
      <c r="A16" s="6" t="s">
        <v>3</v>
      </c>
      <c r="B16" s="78" t="s">
        <v>274</v>
      </c>
      <c r="C16" s="8"/>
      <c r="D16" s="9"/>
      <c r="E16" s="13"/>
      <c r="F16" s="7"/>
      <c r="G16" s="78"/>
      <c r="H16" s="8"/>
      <c r="I16" s="8"/>
      <c r="J16" s="22"/>
      <c r="K16" s="7"/>
      <c r="L16" s="78"/>
      <c r="M16" s="8"/>
      <c r="N16" s="8"/>
      <c r="O16" s="22"/>
      <c r="P16" s="22"/>
      <c r="Q16" s="22"/>
      <c r="R16" s="22"/>
      <c r="S16" s="22"/>
      <c r="T16" s="13"/>
      <c r="U16" s="13"/>
      <c r="V16" s="13"/>
    </row>
    <row r="17" spans="1:39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7"/>
      <c r="G17" s="7"/>
      <c r="H17" s="8"/>
      <c r="I17" s="8"/>
      <c r="J17" s="22"/>
      <c r="K17" s="7"/>
      <c r="L17" s="7"/>
      <c r="M17" s="8"/>
      <c r="N17" s="8"/>
      <c r="O17" s="22"/>
      <c r="P17" s="22"/>
      <c r="Q17" s="22"/>
      <c r="R17" s="22"/>
      <c r="S17" s="22"/>
      <c r="T17" s="13"/>
      <c r="U17" s="13"/>
      <c r="V17" s="13"/>
    </row>
    <row r="18" spans="1:39" ht="15.5" x14ac:dyDescent="0.35">
      <c r="A18" s="6" t="s">
        <v>275</v>
      </c>
      <c r="B18" s="28">
        <v>6.3</v>
      </c>
      <c r="C18" s="10">
        <f>'Ingredient Cost'!D69</f>
        <v>0</v>
      </c>
      <c r="D18" s="11">
        <f>B18*C18</f>
        <v>0</v>
      </c>
      <c r="E18" s="13"/>
      <c r="F18" s="7"/>
      <c r="G18" s="13"/>
      <c r="H18" s="15"/>
      <c r="I18" s="15"/>
      <c r="J18" s="22"/>
      <c r="K18" s="7"/>
      <c r="L18" s="13"/>
      <c r="M18" s="15"/>
      <c r="N18" s="15"/>
      <c r="O18" s="22"/>
      <c r="P18" s="22"/>
      <c r="Q18" s="22"/>
      <c r="R18" s="22"/>
      <c r="S18" s="22"/>
      <c r="T18" s="13"/>
      <c r="U18" s="13"/>
      <c r="V18" s="13"/>
    </row>
    <row r="19" spans="1:39" ht="15.5" x14ac:dyDescent="0.35">
      <c r="A19" s="6" t="s">
        <v>276</v>
      </c>
      <c r="B19" s="28">
        <v>6.3</v>
      </c>
      <c r="C19" s="10">
        <f>'Ingredient Cost'!D50</f>
        <v>56.25</v>
      </c>
      <c r="D19" s="11">
        <f>B19*C19</f>
        <v>354.375</v>
      </c>
      <c r="E19" s="13"/>
      <c r="F19" s="7"/>
      <c r="G19" s="13"/>
      <c r="H19" s="15"/>
      <c r="I19" s="74"/>
      <c r="J19" s="22"/>
      <c r="K19" s="7"/>
      <c r="L19" s="13"/>
      <c r="M19" s="15"/>
      <c r="N19" s="74"/>
      <c r="O19" s="22"/>
      <c r="P19" s="22"/>
      <c r="Q19" s="22"/>
      <c r="R19" s="22"/>
      <c r="S19" s="22"/>
      <c r="T19" s="13"/>
      <c r="U19" s="13"/>
      <c r="V19" s="13"/>
    </row>
    <row r="20" spans="1:39" ht="15.5" x14ac:dyDescent="0.35">
      <c r="A20" s="6" t="s">
        <v>277</v>
      </c>
      <c r="B20" s="28">
        <v>0.75</v>
      </c>
      <c r="C20" s="10"/>
      <c r="D20" s="10">
        <f>B20*C20</f>
        <v>0</v>
      </c>
      <c r="E20" s="13"/>
      <c r="F20" s="22"/>
      <c r="G20" s="22"/>
      <c r="H20" s="22"/>
      <c r="I20" s="22"/>
      <c r="J20" s="22"/>
      <c r="K20" s="7"/>
      <c r="L20" s="13"/>
      <c r="M20" s="15"/>
      <c r="N20" s="74"/>
      <c r="O20" s="22"/>
      <c r="P20" s="22"/>
      <c r="Q20" s="22"/>
      <c r="R20" s="22"/>
      <c r="S20" s="22"/>
      <c r="T20" s="13"/>
      <c r="U20" s="13"/>
      <c r="V20" s="13"/>
    </row>
    <row r="21" spans="1:39" ht="15.5" x14ac:dyDescent="0.35">
      <c r="A21" s="7" t="s">
        <v>75</v>
      </c>
      <c r="B21" s="28">
        <v>0.3</v>
      </c>
      <c r="C21" s="10">
        <f>'Ingredient Cost'!D27</f>
        <v>1.18</v>
      </c>
      <c r="D21" s="10">
        <f t="shared" ref="D21:D22" si="0">B21*C21</f>
        <v>0.35399999999999998</v>
      </c>
      <c r="E21" s="1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3"/>
      <c r="U21" s="13"/>
      <c r="V21" s="13"/>
    </row>
    <row r="22" spans="1:39" ht="15.5" x14ac:dyDescent="0.35">
      <c r="A22" s="7" t="s">
        <v>278</v>
      </c>
      <c r="B22" s="28">
        <v>0.05</v>
      </c>
      <c r="C22" s="10">
        <f>'Ingredient Cost'!D10</f>
        <v>11</v>
      </c>
      <c r="D22" s="10">
        <f t="shared" si="0"/>
        <v>0.55000000000000004</v>
      </c>
      <c r="E22" s="13"/>
      <c r="F22" s="22"/>
      <c r="G22" s="22"/>
      <c r="H22" s="22"/>
      <c r="I22" s="22"/>
      <c r="J22" s="22"/>
      <c r="K22" s="22"/>
      <c r="L22" s="22"/>
      <c r="M22" s="22"/>
      <c r="N22" s="22"/>
      <c r="O22" s="13"/>
      <c r="P22" s="13"/>
      <c r="Q22" s="13"/>
      <c r="R22" s="13"/>
      <c r="S22" s="13"/>
      <c r="T22" s="13"/>
      <c r="U22" s="13"/>
      <c r="V22" s="13"/>
    </row>
    <row r="23" spans="1:39" ht="15.5" x14ac:dyDescent="0.35">
      <c r="A23" s="7" t="s">
        <v>15</v>
      </c>
      <c r="B23" s="28">
        <v>0.02</v>
      </c>
      <c r="C23" s="10">
        <f>'Ingredient Cost'!D8</f>
        <v>0.54</v>
      </c>
      <c r="D23" s="10"/>
      <c r="E23" s="13"/>
      <c r="F23" s="22"/>
      <c r="G23" s="22"/>
      <c r="H23" s="22"/>
      <c r="I23" s="22"/>
      <c r="J23" s="22"/>
      <c r="K23" s="22"/>
      <c r="L23" s="22"/>
      <c r="M23" s="22"/>
      <c r="N23" s="22"/>
      <c r="O23" s="13"/>
      <c r="P23" s="13"/>
      <c r="Q23" s="13"/>
      <c r="R23" s="13"/>
      <c r="S23" s="13"/>
      <c r="T23" s="13"/>
      <c r="U23" s="13"/>
      <c r="V23" s="13"/>
    </row>
    <row r="24" spans="1:39" ht="15.5" x14ac:dyDescent="0.35">
      <c r="A24" s="6"/>
      <c r="B24" s="12">
        <f>SUM(B18:B23)</f>
        <v>13.72</v>
      </c>
      <c r="C24" s="10"/>
      <c r="D24" s="10">
        <f>SUM(D18:D21)</f>
        <v>354.72899999999998</v>
      </c>
      <c r="E24" s="13"/>
      <c r="F24" s="22"/>
      <c r="G24" s="13"/>
      <c r="H24" s="15"/>
      <c r="I24" s="15"/>
      <c r="J24" s="22"/>
      <c r="K24" s="22"/>
      <c r="L24" s="13"/>
      <c r="M24" s="15"/>
      <c r="N24" s="15"/>
      <c r="O24" s="13"/>
      <c r="P24" s="13"/>
      <c r="Q24" s="13"/>
      <c r="R24" s="13"/>
      <c r="S24" s="13"/>
      <c r="T24" s="13"/>
      <c r="U24" s="13"/>
      <c r="V24" s="13"/>
    </row>
    <row r="25" spans="1:39" ht="13" x14ac:dyDescent="0.3">
      <c r="A25" s="13"/>
      <c r="B25" s="13"/>
      <c r="C25" s="15"/>
      <c r="D25" s="14"/>
      <c r="E25" s="13"/>
      <c r="F25" s="22"/>
      <c r="G25" s="22"/>
      <c r="H25" s="22"/>
      <c r="I25" s="22"/>
      <c r="J25" s="22"/>
      <c r="K25" s="22"/>
      <c r="L25" s="22"/>
      <c r="M25" s="22"/>
      <c r="N25" s="22"/>
      <c r="O25" s="13"/>
      <c r="P25" s="13"/>
      <c r="Q25" s="13"/>
      <c r="R25" s="13"/>
      <c r="S25" s="13"/>
      <c r="T25" s="13"/>
      <c r="U25" s="13"/>
      <c r="V25" s="13"/>
    </row>
    <row r="26" spans="1:39" ht="15.5" x14ac:dyDescent="0.35">
      <c r="A26" s="6" t="s">
        <v>0</v>
      </c>
      <c r="B26" s="13"/>
      <c r="C26" s="15"/>
      <c r="D26" s="19">
        <f>D24/B24</f>
        <v>25.854883381924196</v>
      </c>
      <c r="E26" s="13"/>
      <c r="F26" s="7"/>
      <c r="G26" s="13"/>
      <c r="H26" s="15"/>
      <c r="I26" s="20"/>
      <c r="J26" s="22"/>
      <c r="K26" s="7"/>
      <c r="L26" s="13"/>
      <c r="M26" s="15"/>
      <c r="N26" s="20"/>
      <c r="O26" s="13"/>
      <c r="P26" s="13"/>
      <c r="Q26" s="13"/>
      <c r="R26" s="13"/>
      <c r="S26" s="13"/>
      <c r="T26" s="13"/>
      <c r="U26" s="13"/>
      <c r="V26" s="13"/>
    </row>
    <row r="27" spans="1:39" ht="15.5" x14ac:dyDescent="0.35">
      <c r="A27" s="7"/>
      <c r="B27" s="13"/>
      <c r="C27" s="15"/>
      <c r="D27" s="20"/>
      <c r="E27" s="13"/>
      <c r="F27" s="22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39" ht="15.5" x14ac:dyDescent="0.35">
      <c r="A28" s="7" t="s">
        <v>3</v>
      </c>
      <c r="B28" s="78" t="s">
        <v>273</v>
      </c>
      <c r="C28" s="15"/>
      <c r="D28" s="20"/>
      <c r="E28" s="13"/>
      <c r="F28" s="7"/>
      <c r="G28" s="78"/>
      <c r="H28" s="15"/>
      <c r="I28" s="20"/>
      <c r="J28" s="22"/>
      <c r="K28" s="7"/>
      <c r="L28" s="78"/>
      <c r="M28" s="15"/>
      <c r="N28" s="20"/>
      <c r="O28" s="20"/>
      <c r="P28" s="7"/>
      <c r="Q28" s="78"/>
      <c r="R28" s="15"/>
      <c r="S28" s="20"/>
      <c r="T28" s="13"/>
      <c r="U28" s="7"/>
      <c r="V28" s="78"/>
      <c r="W28" s="15"/>
      <c r="X28" s="20"/>
      <c r="Y28" s="20"/>
      <c r="Z28" s="7"/>
      <c r="AA28" s="78"/>
      <c r="AB28" s="15"/>
      <c r="AC28" s="20"/>
      <c r="AE28" s="7" t="s">
        <v>3</v>
      </c>
      <c r="AF28" s="78" t="s">
        <v>32</v>
      </c>
      <c r="AG28" s="15"/>
      <c r="AH28" s="20"/>
      <c r="AJ28" s="7" t="s">
        <v>3</v>
      </c>
      <c r="AK28" s="78" t="s">
        <v>38</v>
      </c>
      <c r="AL28" s="15"/>
      <c r="AM28" s="20"/>
    </row>
    <row r="29" spans="1:39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7"/>
      <c r="G29" s="7"/>
      <c r="H29" s="8"/>
      <c r="I29" s="8"/>
      <c r="J29" s="13"/>
      <c r="K29" s="7"/>
      <c r="L29" s="7"/>
      <c r="M29" s="8"/>
      <c r="N29" s="8"/>
      <c r="O29" s="8"/>
      <c r="P29" s="7"/>
      <c r="Q29" s="7"/>
      <c r="R29" s="8"/>
      <c r="S29" s="8"/>
      <c r="T29" s="13"/>
      <c r="U29" s="7"/>
      <c r="V29" s="7"/>
      <c r="W29" s="8"/>
      <c r="X29" s="8"/>
      <c r="Y29" s="8"/>
      <c r="Z29" s="7"/>
      <c r="AA29" s="7"/>
      <c r="AB29" s="8"/>
      <c r="AC29" s="8"/>
      <c r="AE29" s="7"/>
      <c r="AF29" s="7" t="s">
        <v>1</v>
      </c>
      <c r="AG29" s="8" t="s">
        <v>2</v>
      </c>
      <c r="AH29" s="9" t="s">
        <v>4</v>
      </c>
      <c r="AJ29" s="6"/>
      <c r="AK29" s="7" t="s">
        <v>1</v>
      </c>
      <c r="AL29" s="8" t="s">
        <v>2</v>
      </c>
      <c r="AM29" s="9" t="s">
        <v>4</v>
      </c>
    </row>
    <row r="30" spans="1:39" ht="15.5" x14ac:dyDescent="0.35">
      <c r="A30" s="6" t="s">
        <v>44</v>
      </c>
      <c r="B30" s="28">
        <f>'Pastry Costing'!B24</f>
        <v>0.12</v>
      </c>
      <c r="C30" s="10">
        <f>'Pastry Costing'!I14</f>
        <v>0.90655290102389063</v>
      </c>
      <c r="D30" s="11">
        <f>B30*C30</f>
        <v>0.10878634812286687</v>
      </c>
      <c r="E30" s="13"/>
      <c r="F30" s="7"/>
      <c r="G30" s="13"/>
      <c r="H30" s="15"/>
      <c r="I30" s="74"/>
      <c r="J30" s="13"/>
      <c r="K30" s="7"/>
      <c r="L30" s="13"/>
      <c r="M30" s="15"/>
      <c r="N30" s="74"/>
      <c r="O30" s="74"/>
      <c r="P30" s="7"/>
      <c r="Q30" s="13"/>
      <c r="R30" s="15"/>
      <c r="S30" s="74"/>
      <c r="T30" s="13"/>
      <c r="U30" s="7"/>
      <c r="V30" s="13"/>
      <c r="W30" s="15"/>
      <c r="X30" s="74"/>
      <c r="Y30" s="74"/>
      <c r="Z30" s="7"/>
      <c r="AA30" s="13"/>
      <c r="AB30" s="15"/>
      <c r="AC30" s="74"/>
      <c r="AE30" s="7" t="s">
        <v>44</v>
      </c>
      <c r="AF30" s="28"/>
      <c r="AG30" s="10">
        <f>'Pastry Costing'!C26</f>
        <v>0.40341604095563133</v>
      </c>
      <c r="AH30" s="11">
        <f>AG30</f>
        <v>0.40341604095563133</v>
      </c>
      <c r="AJ30" s="6" t="s">
        <v>44</v>
      </c>
      <c r="AK30" s="28"/>
      <c r="AL30" s="10">
        <f>'Pastry Costing'!C27</f>
        <v>0.40341604095563133</v>
      </c>
      <c r="AM30" s="11">
        <f>AL30</f>
        <v>0.40341604095563133</v>
      </c>
    </row>
    <row r="31" spans="1:39" ht="15.5" x14ac:dyDescent="0.35">
      <c r="A31" s="6" t="s">
        <v>280</v>
      </c>
      <c r="B31" s="28">
        <v>0.14000000000000001</v>
      </c>
      <c r="C31" s="10">
        <f>D26</f>
        <v>25.854883381924196</v>
      </c>
      <c r="D31" s="11">
        <f>B31*C31</f>
        <v>3.619683673469388</v>
      </c>
      <c r="E31" s="13"/>
      <c r="F31" s="7"/>
      <c r="G31" s="13"/>
      <c r="H31" s="15"/>
      <c r="I31" s="74"/>
      <c r="J31" s="13"/>
      <c r="K31" s="7"/>
      <c r="L31" s="13"/>
      <c r="M31" s="15"/>
      <c r="N31" s="74"/>
      <c r="O31" s="74"/>
      <c r="P31" s="7"/>
      <c r="Q31" s="13"/>
      <c r="R31" s="15"/>
      <c r="S31" s="74"/>
      <c r="T31" s="13"/>
      <c r="U31" s="7"/>
      <c r="V31" s="13"/>
      <c r="W31" s="15"/>
      <c r="X31" s="74"/>
      <c r="Y31" s="74"/>
      <c r="Z31" s="7"/>
      <c r="AA31" s="13"/>
      <c r="AB31" s="15"/>
      <c r="AC31" s="74"/>
      <c r="AE31" s="7" t="s">
        <v>45</v>
      </c>
      <c r="AF31" s="28">
        <v>0.45</v>
      </c>
      <c r="AG31" s="10">
        <f>I26</f>
        <v>0</v>
      </c>
      <c r="AH31" s="11">
        <f>AF31*AG31</f>
        <v>0</v>
      </c>
      <c r="AJ31" s="6" t="s">
        <v>45</v>
      </c>
      <c r="AK31" s="28">
        <v>0.6</v>
      </c>
      <c r="AL31" s="10">
        <f>I26</f>
        <v>0</v>
      </c>
      <c r="AM31" s="11">
        <f>AK31*AL31</f>
        <v>0</v>
      </c>
    </row>
    <row r="32" spans="1:39" ht="15.5" x14ac:dyDescent="0.35">
      <c r="A32" s="6" t="s">
        <v>47</v>
      </c>
      <c r="B32" s="28">
        <v>0.02</v>
      </c>
      <c r="C32" s="10">
        <f>'Ingredient Cost'!D79</f>
        <v>17.850000000000001</v>
      </c>
      <c r="D32" s="10">
        <f>B32*C32</f>
        <v>0.35700000000000004</v>
      </c>
      <c r="E32" s="13"/>
      <c r="F32" s="7"/>
      <c r="G32" s="13"/>
      <c r="H32" s="15"/>
      <c r="I32" s="15"/>
      <c r="J32" s="13"/>
      <c r="K32" s="7"/>
      <c r="L32" s="13"/>
      <c r="M32" s="15"/>
      <c r="N32" s="15"/>
      <c r="O32" s="15"/>
      <c r="P32" s="7"/>
      <c r="Q32" s="13"/>
      <c r="R32" s="15"/>
      <c r="S32" s="15"/>
      <c r="T32" s="13"/>
      <c r="U32" s="7"/>
      <c r="V32" s="13"/>
      <c r="W32" s="15"/>
      <c r="X32" s="15"/>
      <c r="Y32" s="15"/>
      <c r="Z32" s="7"/>
      <c r="AA32" s="13"/>
      <c r="AB32" s="15"/>
      <c r="AC32" s="15"/>
      <c r="AE32" s="7" t="s">
        <v>47</v>
      </c>
      <c r="AF32" s="28">
        <v>0.05</v>
      </c>
      <c r="AG32" s="10">
        <f>'Ingredient Cost'!D79</f>
        <v>17.850000000000001</v>
      </c>
      <c r="AH32" s="10">
        <f>AF32*AG32</f>
        <v>0.89250000000000007</v>
      </c>
      <c r="AJ32" s="6" t="s">
        <v>47</v>
      </c>
      <c r="AK32" s="28">
        <v>0.05</v>
      </c>
      <c r="AL32" s="10">
        <f>'Ingredient Cost'!D79</f>
        <v>17.850000000000001</v>
      </c>
      <c r="AM32" s="10">
        <f>AK32*AL32</f>
        <v>0.89250000000000007</v>
      </c>
    </row>
    <row r="33" spans="1:39" ht="15.5" x14ac:dyDescent="0.35">
      <c r="A33" s="7" t="s">
        <v>46</v>
      </c>
      <c r="B33" s="28">
        <f>'Pastry Costing'!D24</f>
        <v>0.04</v>
      </c>
      <c r="C33" s="10">
        <f>'Pastry Costing'!I14</f>
        <v>0.90655290102389063</v>
      </c>
      <c r="D33" s="10">
        <f t="shared" ref="D33:D34" si="1">B33*C33</f>
        <v>3.6262116040955625E-2</v>
      </c>
      <c r="E33" s="13"/>
      <c r="F33" s="7"/>
      <c r="G33" s="13"/>
      <c r="H33" s="15"/>
      <c r="I33" s="15"/>
      <c r="J33" s="13"/>
      <c r="K33" s="7"/>
      <c r="L33" s="13"/>
      <c r="M33" s="15"/>
      <c r="N33" s="15"/>
      <c r="O33" s="15"/>
      <c r="P33" s="7"/>
      <c r="Q33" s="13"/>
      <c r="R33" s="15"/>
      <c r="S33" s="15"/>
      <c r="T33" s="13"/>
      <c r="U33" s="7"/>
      <c r="V33" s="13"/>
      <c r="W33" s="15"/>
      <c r="X33" s="15"/>
      <c r="Y33" s="15"/>
      <c r="Z33" s="7"/>
      <c r="AA33" s="13"/>
      <c r="AB33" s="15"/>
      <c r="AC33" s="15"/>
      <c r="AE33" s="7" t="s">
        <v>46</v>
      </c>
      <c r="AF33" s="28"/>
      <c r="AG33" s="10">
        <f>'Pastry Costing'!E26</f>
        <v>5.4393174061433437E-2</v>
      </c>
      <c r="AH33" s="10">
        <f>AG33</f>
        <v>5.4393174061433437E-2</v>
      </c>
      <c r="AJ33" s="7" t="s">
        <v>46</v>
      </c>
      <c r="AK33" s="28"/>
      <c r="AL33" s="10">
        <f>'Pastry Costing'!E27</f>
        <v>0.14958122866894197</v>
      </c>
      <c r="AM33" s="10">
        <f>AL33</f>
        <v>0.14958122866894197</v>
      </c>
    </row>
    <row r="34" spans="1:39" ht="15.5" x14ac:dyDescent="0.35">
      <c r="A34" s="7" t="s">
        <v>281</v>
      </c>
      <c r="B34" s="28">
        <v>0.05</v>
      </c>
      <c r="C34" s="10">
        <f>'Ingredient Cost'!D38</f>
        <v>4.08</v>
      </c>
      <c r="D34" s="10">
        <f t="shared" si="1"/>
        <v>0.20400000000000001</v>
      </c>
      <c r="E34" s="13"/>
      <c r="F34" s="7"/>
      <c r="G34" s="13"/>
      <c r="H34" s="15"/>
      <c r="I34" s="15"/>
      <c r="J34" s="13"/>
      <c r="K34" s="7"/>
      <c r="L34" s="13"/>
      <c r="M34" s="15"/>
      <c r="N34" s="15"/>
      <c r="O34" s="15"/>
      <c r="P34" s="7"/>
      <c r="Q34" s="13"/>
      <c r="R34" s="15"/>
      <c r="S34" s="15"/>
      <c r="T34" s="13"/>
      <c r="U34" s="7"/>
      <c r="V34" s="13"/>
      <c r="W34" s="15"/>
      <c r="X34" s="15"/>
      <c r="Y34" s="15"/>
      <c r="Z34" s="7"/>
      <c r="AA34" s="13"/>
      <c r="AB34" s="15"/>
      <c r="AC34" s="15"/>
      <c r="AE34" s="7" t="s">
        <v>140</v>
      </c>
      <c r="AF34" s="28">
        <v>16</v>
      </c>
      <c r="AG34" s="10">
        <v>15</v>
      </c>
      <c r="AH34" s="10">
        <f>AG34/AF34</f>
        <v>0.9375</v>
      </c>
      <c r="AJ34" s="7" t="s">
        <v>140</v>
      </c>
      <c r="AK34" s="28">
        <v>10</v>
      </c>
      <c r="AL34" s="10">
        <v>15</v>
      </c>
      <c r="AM34" s="10">
        <f>AL34/AK34</f>
        <v>1.5</v>
      </c>
    </row>
    <row r="35" spans="1:39" ht="15.5" x14ac:dyDescent="0.35">
      <c r="A35" s="7" t="s">
        <v>140</v>
      </c>
      <c r="B35" s="28">
        <v>16</v>
      </c>
      <c r="C35" s="10">
        <v>15</v>
      </c>
      <c r="D35" s="10">
        <f t="shared" ref="D35:D36" si="2">C35/B35</f>
        <v>0.9375</v>
      </c>
      <c r="E35" s="13"/>
      <c r="F35" s="7"/>
      <c r="G35" s="13"/>
      <c r="H35" s="15"/>
      <c r="I35" s="15"/>
      <c r="J35" s="13"/>
      <c r="K35" s="7"/>
      <c r="L35" s="13"/>
      <c r="M35" s="15"/>
      <c r="N35" s="15"/>
      <c r="O35" s="15"/>
      <c r="P35" s="7"/>
      <c r="Q35" s="13"/>
      <c r="R35" s="15"/>
      <c r="S35" s="15"/>
      <c r="T35" s="13"/>
      <c r="U35" s="7"/>
      <c r="V35" s="13"/>
      <c r="W35" s="15"/>
      <c r="X35" s="15"/>
      <c r="Y35" s="15"/>
      <c r="Z35" s="7"/>
      <c r="AA35" s="13"/>
      <c r="AB35" s="15"/>
      <c r="AC35" s="15"/>
      <c r="AE35" s="7"/>
      <c r="AF35" s="28"/>
      <c r="AG35" s="10"/>
      <c r="AH35" s="10"/>
      <c r="AJ35" s="7"/>
      <c r="AK35" s="28"/>
      <c r="AL35" s="10"/>
      <c r="AM35" s="10"/>
    </row>
    <row r="36" spans="1:39" ht="15.5" x14ac:dyDescent="0.35">
      <c r="A36" s="7" t="s">
        <v>139</v>
      </c>
      <c r="B36" s="28">
        <v>1</v>
      </c>
      <c r="C36" s="10">
        <v>0.05</v>
      </c>
      <c r="D36" s="10">
        <f t="shared" si="2"/>
        <v>0.05</v>
      </c>
      <c r="E36" s="13"/>
      <c r="F36" s="7"/>
      <c r="G36" s="13"/>
      <c r="H36" s="15"/>
      <c r="I36" s="15"/>
      <c r="J36" s="13"/>
      <c r="K36" s="7"/>
      <c r="L36" s="13"/>
      <c r="M36" s="15"/>
      <c r="N36" s="15"/>
      <c r="O36" s="15"/>
      <c r="P36" s="7"/>
      <c r="Q36" s="13"/>
      <c r="R36" s="15"/>
      <c r="S36" s="15"/>
      <c r="T36" s="13"/>
      <c r="U36" s="7"/>
      <c r="V36" s="13"/>
      <c r="W36" s="15"/>
      <c r="X36" s="15"/>
      <c r="Y36" s="15"/>
      <c r="Z36" s="7"/>
      <c r="AA36" s="13"/>
      <c r="AB36" s="15"/>
      <c r="AC36" s="15"/>
      <c r="AE36" s="7"/>
      <c r="AF36" s="28"/>
      <c r="AG36" s="10"/>
      <c r="AH36" s="10"/>
      <c r="AJ36" s="7"/>
      <c r="AK36" s="28"/>
      <c r="AL36" s="10"/>
      <c r="AM36" s="10"/>
    </row>
    <row r="37" spans="1:39" ht="15.5" x14ac:dyDescent="0.35">
      <c r="A37" s="7"/>
      <c r="B37" s="12"/>
      <c r="C37" s="10"/>
      <c r="D37" s="10"/>
      <c r="E37" s="13"/>
      <c r="F37" s="7"/>
      <c r="G37" s="13"/>
      <c r="H37" s="15"/>
      <c r="I37" s="15"/>
      <c r="J37" s="13"/>
      <c r="K37" s="7"/>
      <c r="L37" s="13"/>
      <c r="M37" s="15"/>
      <c r="N37" s="15"/>
      <c r="O37" s="15"/>
      <c r="P37" s="7"/>
      <c r="Q37" s="13"/>
      <c r="R37" s="15"/>
      <c r="S37" s="15"/>
      <c r="T37" s="13"/>
      <c r="U37" s="7"/>
      <c r="V37" s="13"/>
      <c r="W37" s="15"/>
      <c r="X37" s="15"/>
      <c r="Y37" s="15"/>
      <c r="Z37" s="7"/>
      <c r="AA37" s="13"/>
      <c r="AB37" s="15"/>
      <c r="AC37" s="15"/>
      <c r="AE37" s="7"/>
      <c r="AF37" s="12"/>
      <c r="AG37" s="10"/>
      <c r="AH37" s="10"/>
      <c r="AJ37" s="7"/>
      <c r="AK37" s="12"/>
      <c r="AL37" s="10"/>
      <c r="AM37" s="10"/>
    </row>
    <row r="38" spans="1:39" ht="13" x14ac:dyDescent="0.3">
      <c r="A38" s="13"/>
      <c r="B38" s="13"/>
      <c r="C38" s="15"/>
      <c r="D38" s="14"/>
      <c r="E38" s="13"/>
      <c r="F38" s="13"/>
      <c r="G38" s="13"/>
      <c r="H38" s="15"/>
      <c r="I38" s="15"/>
      <c r="J38" s="13"/>
      <c r="K38" s="13"/>
      <c r="L38" s="13"/>
      <c r="M38" s="15"/>
      <c r="N38" s="15"/>
      <c r="O38" s="15"/>
      <c r="P38" s="13"/>
      <c r="Q38" s="13"/>
      <c r="R38" s="15"/>
      <c r="S38" s="15"/>
      <c r="T38" s="13"/>
      <c r="U38" s="13"/>
      <c r="V38" s="13"/>
      <c r="W38" s="15"/>
      <c r="X38" s="15"/>
      <c r="Y38" s="15"/>
      <c r="Z38" s="13"/>
      <c r="AA38" s="13"/>
      <c r="AB38" s="15"/>
      <c r="AC38" s="15"/>
      <c r="AE38" s="13"/>
      <c r="AF38" s="13"/>
      <c r="AG38" s="15"/>
      <c r="AH38" s="14"/>
      <c r="AJ38" s="13"/>
      <c r="AK38" s="13"/>
      <c r="AL38" s="15"/>
      <c r="AM38" s="14"/>
    </row>
    <row r="39" spans="1:39" ht="15.5" x14ac:dyDescent="0.35">
      <c r="A39" s="6" t="s">
        <v>0</v>
      </c>
      <c r="B39" s="13"/>
      <c r="C39" s="15"/>
      <c r="D39" s="19">
        <f>SUM(D30:D35)</f>
        <v>5.2632321376332101</v>
      </c>
      <c r="E39" s="13"/>
      <c r="F39" s="7"/>
      <c r="G39" s="13"/>
      <c r="H39" s="15"/>
      <c r="I39" s="20"/>
      <c r="J39" s="13"/>
      <c r="K39" s="7"/>
      <c r="L39" s="13"/>
      <c r="M39" s="15"/>
      <c r="N39" s="20"/>
      <c r="O39" s="20"/>
      <c r="P39" s="7"/>
      <c r="Q39" s="13"/>
      <c r="R39" s="15"/>
      <c r="S39" s="20"/>
      <c r="T39" s="13"/>
      <c r="U39" s="7"/>
      <c r="V39" s="13"/>
      <c r="W39" s="15"/>
      <c r="X39" s="20"/>
      <c r="Y39" s="20"/>
      <c r="Z39" s="7"/>
      <c r="AA39" s="13"/>
      <c r="AB39" s="15"/>
      <c r="AC39" s="20"/>
      <c r="AE39" s="7" t="s">
        <v>0</v>
      </c>
      <c r="AF39" s="13"/>
      <c r="AG39" s="15"/>
      <c r="AH39" s="19">
        <f>SUM(AH30:AH35)</f>
        <v>2.2878092150170648</v>
      </c>
      <c r="AJ39" s="6" t="s">
        <v>0</v>
      </c>
      <c r="AK39" s="13"/>
      <c r="AL39" s="15"/>
      <c r="AM39" s="19">
        <f>SUM(AM30:AM35)</f>
        <v>2.9454972696245734</v>
      </c>
    </row>
    <row r="40" spans="1:39" ht="15.5" x14ac:dyDescent="0.35">
      <c r="A40" s="7"/>
      <c r="B40" s="13"/>
      <c r="C40" s="15"/>
      <c r="D40" s="20"/>
      <c r="E40" s="13"/>
      <c r="F40" s="22"/>
      <c r="G40" s="22"/>
      <c r="H40" s="22"/>
      <c r="I40" s="22"/>
      <c r="J40" s="22"/>
      <c r="K40" s="22"/>
      <c r="L40" s="22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39" ht="15.5" x14ac:dyDescent="0.35">
      <c r="A41" s="7"/>
      <c r="B41" s="78"/>
      <c r="C41" s="15"/>
      <c r="D41" s="20"/>
    </row>
    <row r="42" spans="1:39" ht="15.5" x14ac:dyDescent="0.35">
      <c r="A42" s="7"/>
      <c r="B42" s="7"/>
      <c r="C42" s="8"/>
      <c r="D42" s="8"/>
      <c r="E42" s="13"/>
      <c r="F42" s="7"/>
      <c r="G42" s="3"/>
      <c r="H42" s="4"/>
      <c r="I42" s="4"/>
      <c r="J42" s="13"/>
      <c r="K42" s="7"/>
      <c r="L42" s="47"/>
      <c r="M42" s="48"/>
      <c r="N42" s="49"/>
      <c r="O42" s="49"/>
      <c r="P42" s="49"/>
      <c r="Q42" s="49"/>
      <c r="R42" s="49"/>
      <c r="S42" s="49"/>
      <c r="U42" s="7"/>
      <c r="V42" s="47"/>
      <c r="W42" s="48"/>
      <c r="X42" s="49"/>
      <c r="Y42" s="49"/>
      <c r="Z42" s="7"/>
      <c r="AA42" s="78"/>
      <c r="AB42" s="15"/>
      <c r="AC42" s="20"/>
    </row>
    <row r="43" spans="1:39" ht="15.5" x14ac:dyDescent="0.35">
      <c r="A43" s="7"/>
      <c r="B43" s="13"/>
      <c r="C43" s="15"/>
      <c r="D43" s="74"/>
      <c r="E43" s="13"/>
      <c r="F43" s="7"/>
      <c r="G43" s="5"/>
      <c r="H43" s="4"/>
      <c r="I43" s="4"/>
      <c r="J43" s="13"/>
      <c r="K43" s="7"/>
      <c r="L43" s="7"/>
      <c r="M43" s="8"/>
      <c r="N43" s="8"/>
      <c r="O43" s="8"/>
      <c r="P43" s="8"/>
      <c r="Q43" s="8"/>
      <c r="R43" s="8"/>
      <c r="S43" s="8"/>
      <c r="U43" s="7"/>
      <c r="V43" s="7"/>
      <c r="W43" s="8"/>
      <c r="X43" s="8"/>
      <c r="Y43" s="8"/>
      <c r="Z43" s="7"/>
      <c r="AA43" s="7"/>
      <c r="AB43" s="8"/>
      <c r="AC43" s="8"/>
    </row>
    <row r="44" spans="1:39" ht="15.5" x14ac:dyDescent="0.35">
      <c r="A44" s="7"/>
      <c r="B44" s="13"/>
      <c r="C44" s="15"/>
      <c r="D44" s="74"/>
      <c r="E44" s="13"/>
      <c r="F44" s="7"/>
      <c r="G44" s="5"/>
      <c r="H44" s="4"/>
      <c r="I44" s="4"/>
      <c r="J44" s="13"/>
      <c r="K44" s="7"/>
      <c r="L44" s="13"/>
      <c r="M44" s="15"/>
      <c r="N44" s="74"/>
      <c r="O44" s="74"/>
      <c r="P44" s="74"/>
      <c r="Q44" s="74"/>
      <c r="R44" s="74"/>
      <c r="S44" s="74"/>
      <c r="U44" s="7"/>
      <c r="V44" s="13"/>
      <c r="W44" s="15"/>
      <c r="X44" s="74"/>
      <c r="Y44" s="74"/>
      <c r="Z44" s="7"/>
      <c r="AA44" s="13"/>
      <c r="AB44" s="15"/>
      <c r="AC44" s="74"/>
    </row>
    <row r="45" spans="1:39" ht="15.5" x14ac:dyDescent="0.35">
      <c r="A45" s="7"/>
      <c r="B45" s="13"/>
      <c r="C45" s="15"/>
      <c r="D45" s="15"/>
      <c r="E45" s="13"/>
      <c r="F45" s="7"/>
      <c r="G45" s="7"/>
      <c r="H45" s="8"/>
      <c r="I45" s="8"/>
      <c r="J45" s="13"/>
      <c r="K45" s="7"/>
      <c r="L45" s="13"/>
      <c r="M45" s="15"/>
      <c r="N45" s="74"/>
      <c r="O45" s="74"/>
      <c r="P45" s="74"/>
      <c r="Q45" s="74"/>
      <c r="R45" s="74"/>
      <c r="S45" s="74"/>
      <c r="U45" s="7"/>
      <c r="V45" s="13"/>
      <c r="W45" s="15"/>
      <c r="X45" s="74"/>
      <c r="Y45" s="74"/>
      <c r="Z45" s="7"/>
      <c r="AA45" s="13"/>
      <c r="AB45" s="15"/>
      <c r="AC45" s="74"/>
    </row>
    <row r="46" spans="1:39" ht="15.5" x14ac:dyDescent="0.35">
      <c r="A46" s="7"/>
      <c r="B46" s="13"/>
      <c r="C46" s="15"/>
      <c r="D46" s="15"/>
      <c r="E46" s="13"/>
      <c r="F46" s="7"/>
      <c r="G46" s="13"/>
      <c r="H46" s="15"/>
      <c r="I46" s="74"/>
      <c r="J46" s="13"/>
      <c r="K46" s="7"/>
      <c r="L46" s="13"/>
      <c r="M46" s="15"/>
      <c r="N46" s="15"/>
      <c r="O46" s="15"/>
      <c r="P46" s="15"/>
      <c r="Q46" s="15"/>
      <c r="R46" s="15"/>
      <c r="S46" s="15"/>
      <c r="U46" s="7"/>
      <c r="V46" s="13"/>
      <c r="W46" s="15"/>
      <c r="X46" s="15"/>
      <c r="Y46" s="15"/>
      <c r="Z46" s="7"/>
      <c r="AA46" s="13"/>
      <c r="AB46" s="15"/>
      <c r="AC46" s="15"/>
    </row>
    <row r="47" spans="1:39" ht="15.5" x14ac:dyDescent="0.35">
      <c r="A47" s="7"/>
      <c r="B47" s="13"/>
      <c r="C47" s="15"/>
      <c r="D47" s="15"/>
      <c r="E47" s="13"/>
      <c r="F47" s="7"/>
      <c r="G47" s="13"/>
      <c r="H47" s="15"/>
      <c r="I47" s="74"/>
      <c r="J47" s="13"/>
      <c r="K47" s="7"/>
      <c r="L47" s="13"/>
      <c r="M47" s="15"/>
      <c r="N47" s="15"/>
      <c r="O47" s="15"/>
      <c r="P47" s="15"/>
      <c r="Q47" s="15"/>
      <c r="R47" s="15"/>
      <c r="S47" s="15"/>
      <c r="U47" s="7"/>
      <c r="V47" s="13"/>
      <c r="W47" s="15"/>
      <c r="X47" s="15"/>
      <c r="Y47" s="15"/>
      <c r="Z47" s="7"/>
      <c r="AA47" s="13"/>
      <c r="AB47" s="15"/>
      <c r="AC47" s="15"/>
    </row>
    <row r="48" spans="1:39" ht="15.5" x14ac:dyDescent="0.35">
      <c r="A48" s="7"/>
      <c r="B48" s="13"/>
      <c r="C48" s="15"/>
      <c r="D48" s="15"/>
      <c r="E48" s="13"/>
      <c r="F48" s="7"/>
      <c r="G48" s="13"/>
      <c r="H48" s="15"/>
      <c r="I48" s="15"/>
      <c r="J48" s="13"/>
      <c r="K48" s="7"/>
      <c r="L48" s="13"/>
      <c r="M48" s="15"/>
      <c r="N48" s="15"/>
      <c r="O48" s="15"/>
      <c r="P48" s="15"/>
      <c r="Q48" s="15"/>
      <c r="R48" s="15"/>
      <c r="S48" s="15"/>
      <c r="U48" s="7"/>
      <c r="V48" s="13"/>
      <c r="W48" s="15"/>
      <c r="X48" s="15"/>
      <c r="Y48" s="15"/>
      <c r="Z48" s="7"/>
      <c r="AA48" s="13"/>
      <c r="AB48" s="15"/>
      <c r="AC48" s="15"/>
    </row>
    <row r="49" spans="1:29" ht="15.5" x14ac:dyDescent="0.35">
      <c r="A49" s="7"/>
      <c r="B49" s="13"/>
      <c r="C49" s="15"/>
      <c r="D49" s="15"/>
      <c r="E49" s="13"/>
      <c r="F49" s="7"/>
      <c r="G49" s="13"/>
      <c r="H49" s="15"/>
      <c r="I49" s="15"/>
      <c r="J49" s="13"/>
      <c r="K49" s="7"/>
      <c r="L49" s="13"/>
      <c r="M49" s="15"/>
      <c r="N49" s="15"/>
      <c r="O49" s="15"/>
      <c r="P49" s="15"/>
      <c r="Q49" s="15"/>
      <c r="R49" s="15"/>
      <c r="S49" s="15"/>
      <c r="U49" s="7"/>
      <c r="V49" s="13"/>
      <c r="W49" s="15"/>
      <c r="X49" s="15"/>
      <c r="Y49" s="15"/>
      <c r="Z49" s="7"/>
      <c r="AA49" s="13"/>
      <c r="AB49" s="15"/>
      <c r="AC49" s="15"/>
    </row>
    <row r="50" spans="1:29" ht="15.5" x14ac:dyDescent="0.35">
      <c r="A50" s="7"/>
      <c r="B50" s="13"/>
      <c r="C50" s="15"/>
      <c r="D50" s="15"/>
      <c r="E50" s="13"/>
      <c r="F50" s="7"/>
      <c r="G50" s="13"/>
      <c r="H50" s="15"/>
      <c r="I50" s="15"/>
      <c r="J50" s="13"/>
      <c r="K50" s="7"/>
      <c r="L50" s="13"/>
      <c r="M50" s="15"/>
      <c r="N50" s="15"/>
      <c r="O50" s="15"/>
      <c r="P50" s="15"/>
      <c r="Q50" s="15"/>
      <c r="R50" s="15"/>
      <c r="S50" s="15"/>
      <c r="U50" s="7"/>
      <c r="V50" s="13"/>
      <c r="W50" s="15"/>
      <c r="X50" s="15"/>
      <c r="Y50" s="15"/>
      <c r="Z50" s="7"/>
      <c r="AA50" s="13"/>
      <c r="AB50" s="15"/>
      <c r="AC50" s="15"/>
    </row>
    <row r="51" spans="1:29" ht="15.5" x14ac:dyDescent="0.35">
      <c r="A51" s="13"/>
      <c r="B51" s="13"/>
      <c r="C51" s="15"/>
      <c r="D51" s="15"/>
      <c r="E51" s="13"/>
      <c r="F51" s="7"/>
      <c r="G51" s="13"/>
      <c r="H51" s="15"/>
      <c r="I51" s="15"/>
      <c r="J51" s="13"/>
      <c r="K51" s="7"/>
      <c r="L51" s="13"/>
      <c r="M51" s="15"/>
      <c r="N51" s="15"/>
      <c r="O51" s="15"/>
      <c r="P51" s="15"/>
      <c r="Q51" s="15"/>
      <c r="R51" s="15"/>
      <c r="S51" s="15"/>
      <c r="U51" s="7"/>
      <c r="V51" s="13"/>
      <c r="W51" s="15"/>
      <c r="X51" s="15"/>
      <c r="Y51" s="15"/>
      <c r="Z51" s="7"/>
      <c r="AA51" s="13"/>
      <c r="AB51" s="15"/>
      <c r="AC51" s="15"/>
    </row>
    <row r="52" spans="1:29" ht="15.5" x14ac:dyDescent="0.35">
      <c r="A52" s="7"/>
      <c r="B52" s="13"/>
      <c r="C52" s="15"/>
      <c r="D52" s="20"/>
      <c r="E52" s="13"/>
      <c r="F52" s="7"/>
      <c r="G52" s="13"/>
      <c r="H52" s="15"/>
      <c r="I52" s="15"/>
      <c r="J52" s="13"/>
      <c r="K52" s="13"/>
      <c r="L52" s="13"/>
      <c r="M52" s="15"/>
      <c r="N52" s="15"/>
      <c r="O52" s="15"/>
      <c r="P52" s="15"/>
      <c r="Q52" s="15"/>
      <c r="R52" s="15"/>
      <c r="S52" s="15"/>
      <c r="U52" s="13"/>
      <c r="V52" s="13"/>
      <c r="W52" s="15"/>
      <c r="X52" s="15"/>
      <c r="Y52" s="15"/>
      <c r="Z52" s="13"/>
      <c r="AA52" s="13"/>
      <c r="AB52" s="15"/>
      <c r="AC52" s="15"/>
    </row>
    <row r="53" spans="1:29" ht="15.5" x14ac:dyDescent="0.35">
      <c r="A53" s="7"/>
      <c r="B53" s="13"/>
      <c r="C53" s="15"/>
      <c r="D53" s="74"/>
      <c r="E53" s="13"/>
      <c r="F53" s="13"/>
      <c r="G53" s="13"/>
      <c r="H53" s="15"/>
      <c r="I53" s="15"/>
      <c r="J53" s="13"/>
      <c r="K53" s="7"/>
      <c r="L53" s="13"/>
      <c r="M53" s="15"/>
      <c r="N53" s="20"/>
      <c r="O53" s="20"/>
      <c r="P53" s="20"/>
      <c r="Q53" s="20"/>
      <c r="R53" s="20"/>
      <c r="S53" s="20"/>
      <c r="U53" s="7"/>
      <c r="V53" s="13"/>
      <c r="W53" s="15"/>
      <c r="X53" s="20"/>
      <c r="Y53" s="20"/>
      <c r="Z53" s="7"/>
      <c r="AA53" s="13"/>
      <c r="AB53" s="15"/>
      <c r="AC53" s="20"/>
    </row>
    <row r="54" spans="1:29" ht="15.5" x14ac:dyDescent="0.35">
      <c r="A54" s="7"/>
      <c r="B54" s="78"/>
      <c r="C54" s="15"/>
      <c r="D54" s="20"/>
      <c r="E54" s="13"/>
      <c r="F54" s="7"/>
      <c r="G54" s="13"/>
      <c r="H54" s="15"/>
      <c r="I54" s="20"/>
      <c r="J54" s="13"/>
      <c r="K54" s="7"/>
      <c r="N54" s="74"/>
      <c r="O54" s="74"/>
      <c r="P54" s="74"/>
      <c r="Q54" s="74"/>
      <c r="R54" s="74"/>
      <c r="S54" s="74"/>
      <c r="U54" s="7"/>
      <c r="X54" s="74"/>
      <c r="Y54" s="74"/>
      <c r="Z54" s="74"/>
      <c r="AA54" s="74"/>
      <c r="AB54" s="74"/>
      <c r="AC54" s="74"/>
    </row>
    <row r="55" spans="1:29" ht="15.5" x14ac:dyDescent="0.35">
      <c r="A55" s="7"/>
      <c r="B55" s="7"/>
      <c r="C55" s="8"/>
      <c r="D55" s="8"/>
    </row>
    <row r="56" spans="1:29" ht="15.5" x14ac:dyDescent="0.35">
      <c r="A56" s="7"/>
      <c r="B56" s="13"/>
      <c r="C56" s="15"/>
      <c r="D56" s="74"/>
    </row>
    <row r="57" spans="1:29" ht="15.5" x14ac:dyDescent="0.35">
      <c r="A57" s="7"/>
      <c r="B57" s="13"/>
      <c r="C57" s="15"/>
      <c r="D57" s="74"/>
    </row>
    <row r="58" spans="1:29" ht="15.5" x14ac:dyDescent="0.35">
      <c r="A58" s="7"/>
      <c r="B58" s="13"/>
      <c r="C58" s="15"/>
      <c r="D58" s="15"/>
    </row>
    <row r="59" spans="1:29" ht="15.5" x14ac:dyDescent="0.35">
      <c r="A59" s="7"/>
      <c r="B59" s="13"/>
      <c r="C59" s="15"/>
      <c r="D59" s="15"/>
    </row>
    <row r="60" spans="1:29" ht="15.5" x14ac:dyDescent="0.35">
      <c r="A60" s="7"/>
      <c r="B60" s="13"/>
      <c r="C60" s="15"/>
      <c r="D60" s="15"/>
    </row>
    <row r="61" spans="1:29" ht="15.5" x14ac:dyDescent="0.35">
      <c r="A61" s="7"/>
      <c r="B61" s="13"/>
      <c r="C61" s="15"/>
      <c r="D61" s="15"/>
    </row>
    <row r="62" spans="1:29" ht="15.5" x14ac:dyDescent="0.35">
      <c r="A62" s="7"/>
      <c r="B62" s="13"/>
      <c r="C62" s="15"/>
      <c r="D62" s="15"/>
    </row>
    <row r="63" spans="1:29" ht="15.5" x14ac:dyDescent="0.35">
      <c r="A63" s="7"/>
      <c r="B63" s="13"/>
      <c r="C63" s="15"/>
      <c r="D63" s="15"/>
    </row>
    <row r="64" spans="1:29" ht="15.5" x14ac:dyDescent="0.35">
      <c r="A64" s="7"/>
      <c r="B64" s="13"/>
      <c r="C64" s="15"/>
      <c r="D64" s="15"/>
    </row>
    <row r="65" spans="1:4" ht="13" x14ac:dyDescent="0.3">
      <c r="A65" s="13"/>
      <c r="B65" s="13"/>
      <c r="C65" s="15"/>
      <c r="D65" s="15"/>
    </row>
    <row r="66" spans="1:4" ht="15.5" x14ac:dyDescent="0.35">
      <c r="A66" s="7"/>
      <c r="B66" s="13"/>
      <c r="C66" s="15"/>
      <c r="D66" s="20"/>
    </row>
    <row r="68" spans="1:4" ht="15.5" x14ac:dyDescent="0.35">
      <c r="A68" s="7"/>
      <c r="B68" s="78"/>
      <c r="C68" s="15"/>
      <c r="D68" s="20"/>
    </row>
    <row r="69" spans="1:4" ht="15.5" x14ac:dyDescent="0.35">
      <c r="A69" s="7"/>
      <c r="B69" s="7"/>
      <c r="C69" s="8"/>
      <c r="D69" s="8"/>
    </row>
    <row r="70" spans="1:4" ht="15.5" x14ac:dyDescent="0.35">
      <c r="A70" s="7"/>
      <c r="B70" s="13"/>
      <c r="C70" s="15"/>
      <c r="D70" s="74"/>
    </row>
    <row r="71" spans="1:4" ht="15.5" x14ac:dyDescent="0.35">
      <c r="A71" s="7"/>
      <c r="B71" s="13"/>
      <c r="C71" s="15"/>
      <c r="D71" s="74"/>
    </row>
    <row r="72" spans="1:4" ht="15.5" x14ac:dyDescent="0.35">
      <c r="A72" s="7"/>
      <c r="B72" s="13"/>
      <c r="C72" s="15"/>
      <c r="D72" s="15"/>
    </row>
    <row r="73" spans="1:4" ht="15.5" x14ac:dyDescent="0.35">
      <c r="A73" s="7"/>
      <c r="B73" s="13"/>
      <c r="C73" s="15"/>
      <c r="D73" s="15"/>
    </row>
    <row r="74" spans="1:4" ht="15.5" x14ac:dyDescent="0.35">
      <c r="A74" s="7"/>
      <c r="B74" s="13"/>
      <c r="C74" s="15"/>
      <c r="D74" s="15"/>
    </row>
    <row r="75" spans="1:4" ht="15.5" x14ac:dyDescent="0.35">
      <c r="A75" s="7"/>
      <c r="B75" s="13"/>
      <c r="C75" s="15"/>
      <c r="D75" s="15"/>
    </row>
    <row r="76" spans="1:4" ht="15.5" x14ac:dyDescent="0.35">
      <c r="A76" s="7"/>
      <c r="B76" s="13"/>
      <c r="C76" s="15"/>
      <c r="D76" s="15"/>
    </row>
    <row r="77" spans="1:4" ht="15.5" x14ac:dyDescent="0.35">
      <c r="A77" s="7"/>
      <c r="B77" s="13"/>
      <c r="C77" s="15"/>
      <c r="D77" s="15"/>
    </row>
    <row r="78" spans="1:4" ht="15.5" x14ac:dyDescent="0.35">
      <c r="A78" s="7"/>
      <c r="B78" s="13"/>
      <c r="C78" s="15"/>
      <c r="D78" s="15"/>
    </row>
    <row r="79" spans="1:4" ht="13" x14ac:dyDescent="0.3">
      <c r="A79" s="13"/>
      <c r="B79" s="13"/>
      <c r="C79" s="15"/>
      <c r="D79" s="15"/>
    </row>
    <row r="80" spans="1:4" ht="15.5" x14ac:dyDescent="0.35">
      <c r="A80" s="7"/>
      <c r="B80" s="13"/>
      <c r="C80" s="15"/>
      <c r="D80" s="20"/>
    </row>
    <row r="82" spans="1:4" ht="15.5" x14ac:dyDescent="0.35">
      <c r="A82" s="7"/>
      <c r="B82" s="78"/>
      <c r="C82" s="15"/>
      <c r="D82" s="20"/>
    </row>
    <row r="83" spans="1:4" ht="15.5" x14ac:dyDescent="0.35">
      <c r="A83" s="7"/>
      <c r="B83" s="7"/>
      <c r="C83" s="8"/>
      <c r="D83" s="8"/>
    </row>
    <row r="84" spans="1:4" ht="15.5" x14ac:dyDescent="0.35">
      <c r="A84" s="7"/>
      <c r="B84" s="13"/>
      <c r="C84" s="15"/>
      <c r="D84" s="74"/>
    </row>
    <row r="85" spans="1:4" ht="15.5" x14ac:dyDescent="0.35">
      <c r="A85" s="7"/>
      <c r="B85" s="13"/>
      <c r="C85" s="15"/>
      <c r="D85" s="74"/>
    </row>
    <row r="86" spans="1:4" ht="15.5" x14ac:dyDescent="0.35">
      <c r="A86" s="7"/>
      <c r="B86" s="13"/>
      <c r="C86" s="15"/>
      <c r="D86" s="15"/>
    </row>
    <row r="87" spans="1:4" ht="15.5" x14ac:dyDescent="0.35">
      <c r="A87" s="7"/>
      <c r="B87" s="13"/>
      <c r="C87" s="15"/>
      <c r="D87" s="15"/>
    </row>
    <row r="88" spans="1:4" ht="15.5" x14ac:dyDescent="0.35">
      <c r="A88" s="7"/>
      <c r="B88" s="13"/>
      <c r="C88" s="15"/>
      <c r="D88" s="15"/>
    </row>
    <row r="89" spans="1:4" ht="15.5" x14ac:dyDescent="0.35">
      <c r="A89" s="7"/>
      <c r="B89" s="13"/>
      <c r="C89" s="15"/>
      <c r="D89" s="15"/>
    </row>
    <row r="90" spans="1:4" ht="15.5" x14ac:dyDescent="0.35">
      <c r="A90" s="7"/>
      <c r="B90" s="13"/>
      <c r="C90" s="15"/>
      <c r="D90" s="15"/>
    </row>
    <row r="91" spans="1:4" ht="15.5" x14ac:dyDescent="0.35">
      <c r="A91" s="7"/>
      <c r="B91" s="13"/>
      <c r="C91" s="15"/>
      <c r="D91" s="15"/>
    </row>
    <row r="92" spans="1:4" ht="13" x14ac:dyDescent="0.3">
      <c r="A92" s="13"/>
      <c r="B92" s="13"/>
      <c r="C92" s="15"/>
      <c r="D92" s="15"/>
    </row>
    <row r="93" spans="1:4" ht="15.5" x14ac:dyDescent="0.35">
      <c r="A93" s="7"/>
      <c r="B93" s="13"/>
      <c r="C93" s="15"/>
      <c r="D93" s="20"/>
    </row>
  </sheetData>
  <mergeCells count="4">
    <mergeCell ref="A1:V1"/>
    <mergeCell ref="A2:V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D8DC-B0FF-41E9-810D-7F73091C38C1}">
  <sheetPr>
    <tabColor rgb="FF92D050"/>
  </sheetPr>
  <dimension ref="A1:Q54"/>
  <sheetViews>
    <sheetView showGridLines="0" topLeftCell="A16" workbookViewId="0">
      <selection activeCell="A37" sqref="A37"/>
    </sheetView>
  </sheetViews>
  <sheetFormatPr defaultRowHeight="12.5" x14ac:dyDescent="0.25"/>
  <cols>
    <col min="1" max="1" width="22.81640625" customWidth="1"/>
    <col min="3" max="3" width="12.81640625" customWidth="1"/>
    <col min="4" max="4" width="15.17968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150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7"/>
      <c r="B16" s="13"/>
      <c r="C16" s="15"/>
      <c r="D16" s="20"/>
      <c r="E16" s="13"/>
      <c r="F16" s="7"/>
      <c r="G16" s="13"/>
      <c r="H16" s="15"/>
      <c r="I16" s="20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164" t="s">
        <v>449</v>
      </c>
      <c r="B17" s="166"/>
      <c r="C17" s="167"/>
      <c r="D17" s="168"/>
      <c r="E17" s="166"/>
      <c r="F17" s="164"/>
      <c r="G17" s="166"/>
      <c r="H17" s="167"/>
      <c r="I17" s="168"/>
      <c r="J17" s="166"/>
      <c r="K17" s="169"/>
      <c r="L17" s="169"/>
      <c r="M17" s="166"/>
      <c r="N17" s="166"/>
      <c r="O17" s="13"/>
      <c r="P17" s="13"/>
      <c r="Q17" s="13"/>
    </row>
    <row r="18" spans="1:17" ht="15.5" x14ac:dyDescent="0.35">
      <c r="A18" s="7"/>
      <c r="B18" s="13"/>
      <c r="C18" s="15"/>
      <c r="D18" s="20"/>
      <c r="E18" s="13"/>
      <c r="F18" s="7"/>
      <c r="G18" s="13"/>
      <c r="H18" s="15"/>
      <c r="I18" s="20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B19" s="8" t="s">
        <v>2</v>
      </c>
      <c r="C19" s="8" t="s">
        <v>471</v>
      </c>
      <c r="D19" s="8" t="s">
        <v>4</v>
      </c>
    </row>
    <row r="20" spans="1:17" ht="15.5" x14ac:dyDescent="0.35">
      <c r="A20" s="7" t="s">
        <v>470</v>
      </c>
      <c r="B20" s="196">
        <v>56.25</v>
      </c>
      <c r="C20" s="197">
        <v>225</v>
      </c>
      <c r="D20" s="10">
        <f>B20/C20</f>
        <v>0.25</v>
      </c>
    </row>
    <row r="21" spans="1:17" ht="15.5" x14ac:dyDescent="0.35">
      <c r="A21" s="7" t="s">
        <v>469</v>
      </c>
      <c r="B21" s="196">
        <v>20.87</v>
      </c>
      <c r="C21" s="197">
        <v>148</v>
      </c>
      <c r="D21" s="10">
        <f>B21/C21</f>
        <v>0.14101351351351352</v>
      </c>
    </row>
    <row r="22" spans="1:17" ht="13" x14ac:dyDescent="0.3">
      <c r="D22" s="74">
        <f>SUM(D20:D21)</f>
        <v>0.39101351351351354</v>
      </c>
    </row>
    <row r="24" spans="1:17" ht="15.5" x14ac:dyDescent="0.35">
      <c r="A24" s="7"/>
      <c r="B24" s="13"/>
      <c r="C24" s="15"/>
      <c r="D24" s="74"/>
      <c r="E24" s="13"/>
      <c r="F24" s="7"/>
      <c r="G24" s="13"/>
      <c r="H24" s="15"/>
      <c r="I24" s="74"/>
      <c r="J24" s="13"/>
      <c r="K24" s="7"/>
      <c r="L24" s="13"/>
      <c r="M24" s="15"/>
      <c r="N24" s="74"/>
    </row>
    <row r="25" spans="1:17" ht="15.5" x14ac:dyDescent="0.35">
      <c r="A25" s="164" t="s">
        <v>460</v>
      </c>
      <c r="B25" s="166"/>
      <c r="C25" s="167"/>
      <c r="D25" s="188"/>
      <c r="E25" s="166"/>
      <c r="F25" s="164"/>
      <c r="G25" s="166"/>
      <c r="H25" s="167"/>
      <c r="I25" s="188"/>
      <c r="J25" s="166"/>
      <c r="K25" s="164"/>
      <c r="L25" s="166"/>
      <c r="M25" s="167"/>
      <c r="N25" s="188"/>
    </row>
    <row r="26" spans="1:17" ht="15.5" x14ac:dyDescent="0.35">
      <c r="A26" s="7"/>
      <c r="B26" s="13"/>
      <c r="C26" s="15"/>
      <c r="D26" s="74"/>
      <c r="E26" s="13"/>
      <c r="F26" s="7"/>
      <c r="G26" s="13"/>
      <c r="H26" s="15"/>
      <c r="I26" s="74"/>
      <c r="J26" s="13"/>
      <c r="K26" s="7"/>
      <c r="L26" s="13"/>
      <c r="M26" s="15"/>
      <c r="N26" s="74"/>
    </row>
    <row r="27" spans="1:17" ht="15.5" x14ac:dyDescent="0.35">
      <c r="A27" s="159" t="s">
        <v>459</v>
      </c>
      <c r="B27" s="160"/>
      <c r="C27" s="161"/>
      <c r="D27" s="162"/>
    </row>
    <row r="28" spans="1:17" ht="15.5" x14ac:dyDescent="0.35">
      <c r="A28" s="6"/>
      <c r="B28" s="7" t="s">
        <v>1</v>
      </c>
      <c r="C28" s="8" t="s">
        <v>2</v>
      </c>
      <c r="D28" s="8" t="s">
        <v>4</v>
      </c>
      <c r="E28" s="13"/>
    </row>
    <row r="29" spans="1:17" ht="15.5" x14ac:dyDescent="0.35">
      <c r="A29" s="171" t="s">
        <v>449</v>
      </c>
      <c r="B29" s="170">
        <v>1</v>
      </c>
      <c r="C29" s="10">
        <f>D22*2</f>
        <v>0.78202702702702709</v>
      </c>
      <c r="D29" s="157">
        <f>B29*C29</f>
        <v>0.78202702702702709</v>
      </c>
      <c r="E29" s="158"/>
    </row>
    <row r="30" spans="1:17" ht="15.5" x14ac:dyDescent="0.35">
      <c r="A30" s="7" t="s">
        <v>139</v>
      </c>
      <c r="B30" s="170">
        <v>1</v>
      </c>
      <c r="C30" s="157">
        <v>0.09</v>
      </c>
      <c r="D30" s="10">
        <f>C30*B30</f>
        <v>0.09</v>
      </c>
    </row>
    <row r="31" spans="1:17" ht="15.5" x14ac:dyDescent="0.35">
      <c r="A31" s="6" t="s">
        <v>0</v>
      </c>
      <c r="B31" s="13"/>
      <c r="C31" s="15"/>
      <c r="D31" s="74">
        <f>SUM(D29:D30)</f>
        <v>0.87202702702702706</v>
      </c>
      <c r="E31" s="13"/>
    </row>
    <row r="32" spans="1:17" ht="15.5" x14ac:dyDescent="0.35">
      <c r="A32" s="7"/>
      <c r="B32" s="13"/>
      <c r="C32" s="15"/>
      <c r="D32" s="74"/>
      <c r="E32" s="13"/>
      <c r="F32" s="7"/>
      <c r="G32" s="13"/>
      <c r="H32" s="15"/>
      <c r="I32" s="74"/>
      <c r="J32" s="13"/>
      <c r="K32" s="7"/>
      <c r="L32" s="13"/>
      <c r="M32" s="15"/>
      <c r="N32" s="74"/>
    </row>
    <row r="34" spans="1:17" ht="15.5" x14ac:dyDescent="0.35">
      <c r="A34" s="164" t="s">
        <v>461</v>
      </c>
      <c r="B34" s="165"/>
      <c r="C34" s="167"/>
      <c r="D34" s="189" t="s">
        <v>462</v>
      </c>
      <c r="E34" s="164" t="s">
        <v>456</v>
      </c>
      <c r="F34" s="164"/>
      <c r="G34" s="166"/>
      <c r="H34" s="167"/>
      <c r="I34" s="168"/>
      <c r="J34" s="166"/>
      <c r="K34" s="169"/>
      <c r="L34" s="169"/>
      <c r="M34" s="166"/>
      <c r="N34" s="166"/>
      <c r="O34" s="13"/>
      <c r="P34" s="13"/>
      <c r="Q34" s="13"/>
    </row>
    <row r="35" spans="1:17" ht="15.5" x14ac:dyDescent="0.35">
      <c r="A35" s="7"/>
      <c r="B35" s="13"/>
      <c r="C35" s="15"/>
      <c r="D35" s="20"/>
      <c r="E35" s="13"/>
      <c r="F35" s="22"/>
      <c r="G35" s="22"/>
      <c r="H35" s="22"/>
      <c r="I35" s="22"/>
      <c r="J35" s="22"/>
      <c r="K35" s="22"/>
      <c r="L35" s="22"/>
      <c r="M35" s="13"/>
      <c r="N35" s="13"/>
      <c r="O35" s="13"/>
      <c r="P35" s="13"/>
      <c r="Q35" s="13"/>
    </row>
    <row r="36" spans="1:17" ht="15.5" x14ac:dyDescent="0.35">
      <c r="A36" s="159" t="s">
        <v>487</v>
      </c>
      <c r="B36" s="160"/>
      <c r="C36" s="161"/>
      <c r="D36" s="162"/>
    </row>
    <row r="37" spans="1:17" ht="15.5" x14ac:dyDescent="0.35">
      <c r="A37" s="6"/>
      <c r="B37" s="7" t="s">
        <v>1</v>
      </c>
      <c r="C37" s="8" t="s">
        <v>2</v>
      </c>
      <c r="D37" s="8" t="s">
        <v>4</v>
      </c>
      <c r="E37" s="13"/>
    </row>
    <row r="38" spans="1:17" ht="15.5" x14ac:dyDescent="0.35">
      <c r="A38" s="171" t="s">
        <v>463</v>
      </c>
      <c r="B38" s="170">
        <v>1</v>
      </c>
      <c r="C38" s="10">
        <f>D31</f>
        <v>0.87202702702702706</v>
      </c>
      <c r="D38" s="157">
        <f>B38*C38</f>
        <v>0.87202702702702706</v>
      </c>
      <c r="E38" s="158"/>
    </row>
    <row r="39" spans="1:17" ht="15.5" x14ac:dyDescent="0.35">
      <c r="A39" s="7" t="s">
        <v>180</v>
      </c>
      <c r="B39" s="28">
        <v>120</v>
      </c>
      <c r="C39" s="10">
        <f>'Ingredient Cost'!$B$113</f>
        <v>20</v>
      </c>
      <c r="D39" s="10">
        <f>C39/B39</f>
        <v>0.16666666666666666</v>
      </c>
      <c r="E39" s="13"/>
    </row>
    <row r="40" spans="1:17" ht="15.5" x14ac:dyDescent="0.35">
      <c r="A40" s="6" t="s">
        <v>0</v>
      </c>
      <c r="B40" s="13"/>
      <c r="C40" s="15"/>
      <c r="D40" s="74">
        <f>SUM(D38:D39)</f>
        <v>1.0386936936936937</v>
      </c>
      <c r="E40" s="13"/>
    </row>
    <row r="41" spans="1:17" ht="15.5" x14ac:dyDescent="0.35">
      <c r="A41" s="7"/>
      <c r="B41" s="13"/>
      <c r="C41" s="15"/>
      <c r="D41" s="74"/>
      <c r="E41" s="13"/>
      <c r="F41" s="7"/>
      <c r="G41" s="13"/>
      <c r="H41" s="15"/>
      <c r="I41" s="74"/>
      <c r="J41" s="13"/>
      <c r="K41" s="7"/>
      <c r="L41" s="13"/>
      <c r="M41" s="15"/>
      <c r="N41" s="74"/>
    </row>
    <row r="42" spans="1:17" ht="15.5" x14ac:dyDescent="0.35">
      <c r="A42" s="7"/>
      <c r="B42" s="74" t="s">
        <v>467</v>
      </c>
      <c r="C42" s="163"/>
      <c r="D42" s="191">
        <f>D39/D38</f>
        <v>0.191125574668113</v>
      </c>
      <c r="E42" s="13"/>
      <c r="F42" s="7"/>
    </row>
    <row r="43" spans="1:17" ht="15.5" x14ac:dyDescent="0.35">
      <c r="A43" s="164" t="s">
        <v>448</v>
      </c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</row>
    <row r="45" spans="1:17" ht="15.5" x14ac:dyDescent="0.35">
      <c r="A45" s="190" t="s">
        <v>473</v>
      </c>
      <c r="B45" s="159"/>
      <c r="C45" s="161"/>
      <c r="D45" s="162"/>
      <c r="K45" s="7"/>
      <c r="L45" s="47"/>
      <c r="M45" s="48"/>
      <c r="N45" s="49"/>
    </row>
    <row r="46" spans="1:17" ht="15.5" x14ac:dyDescent="0.35">
      <c r="A46" s="7"/>
      <c r="B46" s="7" t="s">
        <v>1</v>
      </c>
      <c r="C46" s="8" t="s">
        <v>2</v>
      </c>
      <c r="D46" s="8" t="s">
        <v>4</v>
      </c>
      <c r="E46" s="13"/>
      <c r="J46" s="13"/>
      <c r="K46" s="7"/>
      <c r="L46" s="7"/>
      <c r="M46" s="8"/>
      <c r="N46" s="8"/>
    </row>
    <row r="47" spans="1:17" ht="15.5" x14ac:dyDescent="0.35">
      <c r="A47" s="7" t="s">
        <v>454</v>
      </c>
      <c r="B47" s="28">
        <v>10</v>
      </c>
      <c r="C47" s="10">
        <f>D40</f>
        <v>1.0386936936936937</v>
      </c>
      <c r="D47" s="11">
        <f>B47*C47</f>
        <v>10.386936936936937</v>
      </c>
      <c r="E47" s="13"/>
      <c r="J47" s="13"/>
      <c r="K47" s="7"/>
      <c r="L47" s="13"/>
      <c r="M47" s="15"/>
      <c r="N47" s="74"/>
    </row>
    <row r="48" spans="1:17" ht="15.5" x14ac:dyDescent="0.35">
      <c r="A48" s="7" t="s">
        <v>464</v>
      </c>
      <c r="B48" s="28">
        <v>1</v>
      </c>
      <c r="C48" s="10">
        <f>'Ingredient Cost'!D108</f>
        <v>0.2</v>
      </c>
      <c r="D48" s="10">
        <f>B48*C48</f>
        <v>0.2</v>
      </c>
      <c r="E48" s="13"/>
      <c r="J48" s="13"/>
      <c r="K48" s="7"/>
      <c r="L48" s="13"/>
      <c r="M48" s="15"/>
      <c r="N48" s="15"/>
    </row>
    <row r="49" spans="1:14" ht="15.5" x14ac:dyDescent="0.35">
      <c r="A49" s="7" t="s">
        <v>180</v>
      </c>
      <c r="B49" s="28">
        <v>250</v>
      </c>
      <c r="C49" s="10">
        <f>C39</f>
        <v>20</v>
      </c>
      <c r="D49" s="10">
        <f>C49/B49</f>
        <v>0.08</v>
      </c>
      <c r="E49" s="13"/>
      <c r="J49" s="13"/>
      <c r="K49" s="7"/>
      <c r="L49" s="13"/>
      <c r="M49" s="15"/>
      <c r="N49" s="15"/>
    </row>
    <row r="50" spans="1:14" ht="15.5" x14ac:dyDescent="0.35">
      <c r="A50" s="7" t="s">
        <v>184</v>
      </c>
      <c r="B50" s="28">
        <v>1</v>
      </c>
      <c r="C50" s="10">
        <v>0.01</v>
      </c>
      <c r="D50" s="10">
        <f>B50*C50</f>
        <v>0.01</v>
      </c>
      <c r="E50" s="13"/>
      <c r="J50" s="13"/>
      <c r="K50" s="7"/>
      <c r="L50" s="13"/>
      <c r="M50" s="15"/>
      <c r="N50" s="15"/>
    </row>
    <row r="51" spans="1:14" ht="15.5" x14ac:dyDescent="0.35">
      <c r="A51" s="7" t="s">
        <v>0</v>
      </c>
      <c r="B51" s="13"/>
      <c r="C51" s="15"/>
      <c r="D51" s="74">
        <f>SUM(D47:D50)</f>
        <v>10.676936936936936</v>
      </c>
      <c r="E51" s="13"/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D51/9</f>
        <v>1.1863263263263262</v>
      </c>
    </row>
    <row r="53" spans="1:14" ht="15.5" x14ac:dyDescent="0.35">
      <c r="A53" s="7"/>
      <c r="D53" s="74"/>
      <c r="F53" s="7"/>
      <c r="I53" s="74"/>
    </row>
    <row r="54" spans="1:14" ht="15.5" x14ac:dyDescent="0.35">
      <c r="A54" s="7"/>
      <c r="D54" s="74"/>
      <c r="F54" s="7"/>
      <c r="I54" s="74"/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Q84"/>
  <sheetViews>
    <sheetView showGridLines="0" workbookViewId="0">
      <selection activeCell="D84" sqref="D84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80" t="s">
        <v>119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120</v>
      </c>
      <c r="B20" s="28">
        <v>3</v>
      </c>
      <c r="C20" s="10">
        <f>'Ingredient Cost'!$D$59</f>
        <v>8.5</v>
      </c>
      <c r="D20" s="156">
        <f>B20*C20</f>
        <v>25.5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121</v>
      </c>
      <c r="B21" s="28">
        <v>2.2000000000000002</v>
      </c>
      <c r="C21" s="10">
        <v>0</v>
      </c>
      <c r="D21" s="156">
        <f>B21*C21</f>
        <v>0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178</v>
      </c>
      <c r="B22" s="28">
        <v>0.45</v>
      </c>
      <c r="C22" s="10">
        <f>'Ingredient Cost'!$D$21</f>
        <v>8.9</v>
      </c>
      <c r="D22" s="157">
        <f>B22*C22</f>
        <v>4.0049999999999999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 t="s">
        <v>4</v>
      </c>
      <c r="B23" s="154">
        <f>SUM(B20:B22)</f>
        <v>5.65</v>
      </c>
      <c r="C23" s="155"/>
      <c r="D23" s="187">
        <f>SUM(D20:D22)</f>
        <v>29.504999999999999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13"/>
      <c r="B24" s="13"/>
      <c r="C24" s="15"/>
      <c r="D24" s="15"/>
      <c r="E24" s="13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453</v>
      </c>
      <c r="B26" s="13"/>
      <c r="C26" s="15"/>
      <c r="D26" s="74">
        <f>D23/B23</f>
        <v>5.2221238938053096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7" t="s">
        <v>199</v>
      </c>
      <c r="B32" s="28">
        <v>0.129</v>
      </c>
      <c r="C32" s="10">
        <f>$D$26</f>
        <v>5.2221238938053096</v>
      </c>
      <c r="D32" s="156">
        <f>B32*C32</f>
        <v>0.67365398230088491</v>
      </c>
      <c r="E32" s="158"/>
      <c r="F32" s="7" t="s">
        <v>199</v>
      </c>
      <c r="G32" s="28">
        <v>0.25700000000000001</v>
      </c>
      <c r="H32" s="10">
        <f>$D$26</f>
        <v>5.2221238938053096</v>
      </c>
      <c r="I32" s="156">
        <f>G32*H32</f>
        <v>1.3420858407079646</v>
      </c>
      <c r="J32" s="158"/>
      <c r="K32" s="7" t="s">
        <v>199</v>
      </c>
      <c r="L32" s="28">
        <v>0.74</v>
      </c>
      <c r="M32" s="10">
        <f>$D$26</f>
        <v>5.2221238938053096</v>
      </c>
      <c r="N32" s="11">
        <f>L32*M32</f>
        <v>3.8643716814159292</v>
      </c>
    </row>
    <row r="33" spans="1:17" ht="15.5" x14ac:dyDescent="0.35">
      <c r="A33" s="7" t="s">
        <v>152</v>
      </c>
      <c r="B33" s="28">
        <v>1</v>
      </c>
      <c r="C33" s="10">
        <f>'Pastry Costing'!$F$30</f>
        <v>0.2107946902228468</v>
      </c>
      <c r="D33" s="156">
        <f>C33</f>
        <v>0.2107946902228468</v>
      </c>
      <c r="E33" s="158"/>
      <c r="F33" s="171" t="s">
        <v>152</v>
      </c>
      <c r="G33" s="170">
        <v>1</v>
      </c>
      <c r="H33" s="10">
        <f>'Pastry Costing'!$F$31</f>
        <v>0.34141430034129694</v>
      </c>
      <c r="I33" s="156">
        <f>H33</f>
        <v>0.34141430034129694</v>
      </c>
      <c r="J33" s="158"/>
      <c r="K33" s="171" t="s">
        <v>152</v>
      </c>
      <c r="L33" s="170">
        <v>1</v>
      </c>
      <c r="M33" s="10">
        <f>'Pastry Costing'!$F$32</f>
        <v>0.52407440273037542</v>
      </c>
      <c r="N33" s="11">
        <f>M33</f>
        <v>0.52407440273037542</v>
      </c>
    </row>
    <row r="34" spans="1:17" ht="15.5" x14ac:dyDescent="0.35">
      <c r="A34" s="7" t="s">
        <v>115</v>
      </c>
      <c r="B34" s="28">
        <v>1</v>
      </c>
      <c r="C34" s="10">
        <f>'Ingredient Cost'!$D$11</f>
        <v>0.02</v>
      </c>
      <c r="D34" s="157">
        <f>B34*C34</f>
        <v>0.02</v>
      </c>
      <c r="E34" s="158"/>
      <c r="F34" s="7" t="s">
        <v>115</v>
      </c>
      <c r="G34" s="28">
        <v>1</v>
      </c>
      <c r="H34" s="10">
        <f>'Ingredient Cost'!$D$11</f>
        <v>0.02</v>
      </c>
      <c r="I34" s="157">
        <f>H34</f>
        <v>0.02</v>
      </c>
      <c r="J34" s="158"/>
      <c r="K34" s="7" t="s">
        <v>115</v>
      </c>
      <c r="L34" s="28">
        <v>1</v>
      </c>
      <c r="M34" s="10">
        <f>'Ingredient Cost'!$D$11</f>
        <v>0.02</v>
      </c>
      <c r="N34" s="10">
        <f>L34*M34</f>
        <v>0.02</v>
      </c>
    </row>
    <row r="35" spans="1:17" ht="15.5" x14ac:dyDescent="0.35">
      <c r="A35" s="7" t="s">
        <v>0</v>
      </c>
      <c r="B35" s="13"/>
      <c r="C35" s="15"/>
      <c r="D35" s="74">
        <f>SUM(D32:D34)</f>
        <v>0.90444867252373173</v>
      </c>
      <c r="E35" s="13"/>
      <c r="F35" s="7" t="s">
        <v>0</v>
      </c>
      <c r="G35" s="13"/>
      <c r="H35" s="15"/>
      <c r="I35" s="74">
        <f>SUM(I32:I34)</f>
        <v>1.7035001410492616</v>
      </c>
      <c r="J35" s="13"/>
      <c r="K35" s="7" t="s">
        <v>0</v>
      </c>
      <c r="L35" s="13"/>
      <c r="M35" s="15"/>
      <c r="N35" s="74">
        <f>SUM(N32:N34)</f>
        <v>4.4084460841463038</v>
      </c>
    </row>
    <row r="36" spans="1:17" ht="15.5" x14ac:dyDescent="0.35">
      <c r="A36" s="7"/>
      <c r="B36" s="13"/>
      <c r="C36" s="15"/>
      <c r="D36" s="74"/>
      <c r="E36" s="13"/>
      <c r="F36" s="7"/>
      <c r="G36" s="13"/>
      <c r="H36" s="15"/>
      <c r="I36" s="74"/>
      <c r="J36" s="13"/>
      <c r="K36" s="7"/>
      <c r="L36" s="13"/>
      <c r="M36" s="15"/>
      <c r="N36" s="74"/>
    </row>
    <row r="37" spans="1:17" ht="15.5" x14ac:dyDescent="0.35">
      <c r="A37" s="164" t="s">
        <v>460</v>
      </c>
      <c r="B37" s="166"/>
      <c r="C37" s="167"/>
      <c r="D37" s="188"/>
      <c r="E37" s="166"/>
      <c r="F37" s="164"/>
      <c r="G37" s="166"/>
      <c r="H37" s="167"/>
      <c r="I37" s="188"/>
      <c r="J37" s="166"/>
      <c r="K37" s="164"/>
      <c r="L37" s="166"/>
      <c r="M37" s="167"/>
      <c r="N37" s="188"/>
    </row>
    <row r="38" spans="1:17" ht="15.5" x14ac:dyDescent="0.35">
      <c r="A38" s="7"/>
      <c r="B38" s="13"/>
      <c r="C38" s="15"/>
      <c r="D38" s="74"/>
      <c r="E38" s="13"/>
      <c r="F38" s="7"/>
      <c r="G38" s="13"/>
      <c r="H38" s="15"/>
      <c r="I38" s="74"/>
      <c r="J38" s="13"/>
      <c r="K38" s="7"/>
      <c r="L38" s="13"/>
      <c r="M38" s="15"/>
      <c r="N38" s="74"/>
    </row>
    <row r="39" spans="1:17" ht="15.5" x14ac:dyDescent="0.35">
      <c r="A39" s="159" t="s">
        <v>459</v>
      </c>
      <c r="B39" s="160"/>
      <c r="C39" s="161"/>
      <c r="D39" s="162"/>
      <c r="F39" s="159" t="s">
        <v>42</v>
      </c>
      <c r="G39" s="159"/>
      <c r="H39" s="161"/>
      <c r="I39" s="162"/>
      <c r="K39" s="159" t="s">
        <v>43</v>
      </c>
      <c r="L39" s="160"/>
      <c r="M39" s="161"/>
      <c r="N39" s="162"/>
    </row>
    <row r="40" spans="1:17" ht="15.5" x14ac:dyDescent="0.35">
      <c r="A40" s="6"/>
      <c r="B40" s="7" t="s">
        <v>1</v>
      </c>
      <c r="C40" s="8" t="s">
        <v>2</v>
      </c>
      <c r="D40" s="8" t="s">
        <v>4</v>
      </c>
      <c r="E40" s="13"/>
      <c r="F40" s="7"/>
      <c r="G40" s="7" t="s">
        <v>1</v>
      </c>
      <c r="H40" s="8" t="s">
        <v>2</v>
      </c>
      <c r="I40" s="8" t="s">
        <v>4</v>
      </c>
      <c r="J40" s="13"/>
      <c r="K40" s="7"/>
      <c r="L40" s="7" t="s">
        <v>1</v>
      </c>
      <c r="M40" s="8" t="s">
        <v>2</v>
      </c>
      <c r="N40" s="8" t="s">
        <v>4</v>
      </c>
    </row>
    <row r="41" spans="1:17" ht="15.5" x14ac:dyDescent="0.35">
      <c r="A41" s="171" t="s">
        <v>449</v>
      </c>
      <c r="B41" s="170">
        <v>1</v>
      </c>
      <c r="C41" s="10">
        <f>$D$35</f>
        <v>0.90444867252373173</v>
      </c>
      <c r="D41" s="156">
        <f>B41*C41</f>
        <v>0.90444867252373173</v>
      </c>
      <c r="E41" s="158"/>
      <c r="F41" s="171" t="s">
        <v>449</v>
      </c>
      <c r="G41" s="170">
        <v>1</v>
      </c>
      <c r="H41" s="10">
        <f>$I$35</f>
        <v>1.7035001410492616</v>
      </c>
      <c r="I41" s="156">
        <f>G41*H41</f>
        <v>1.7035001410492616</v>
      </c>
      <c r="J41" s="158"/>
      <c r="K41" s="171" t="s">
        <v>449</v>
      </c>
      <c r="L41" s="170">
        <v>1</v>
      </c>
      <c r="M41" s="10">
        <f>$N$35</f>
        <v>4.4084460841463038</v>
      </c>
      <c r="N41" s="11">
        <f>L41*M41</f>
        <v>4.4084460841463038</v>
      </c>
    </row>
    <row r="42" spans="1:17" ht="15.5" x14ac:dyDescent="0.35">
      <c r="A42" s="7" t="s">
        <v>106</v>
      </c>
      <c r="B42" s="28">
        <v>1</v>
      </c>
      <c r="C42" s="10">
        <f>'Ingredient Cost'!$D$95</f>
        <v>0.09</v>
      </c>
      <c r="D42" s="10">
        <f>B42*C42</f>
        <v>0.09</v>
      </c>
      <c r="E42" s="13"/>
      <c r="F42" s="7" t="s">
        <v>106</v>
      </c>
      <c r="G42" s="28">
        <v>1</v>
      </c>
      <c r="H42" s="10">
        <f>'Ingredient Cost'!$D$83</f>
        <v>7.0000000000000007E-2</v>
      </c>
      <c r="I42" s="157">
        <f>G42*H42</f>
        <v>7.0000000000000007E-2</v>
      </c>
      <c r="J42" s="158"/>
      <c r="K42" s="7" t="s">
        <v>106</v>
      </c>
      <c r="L42" s="28">
        <v>1</v>
      </c>
      <c r="M42" s="10">
        <f>'Ingredient Cost'!$D$83</f>
        <v>7.0000000000000007E-2</v>
      </c>
      <c r="N42" s="10">
        <f>L42*M42</f>
        <v>7.0000000000000007E-2</v>
      </c>
    </row>
    <row r="43" spans="1:17" ht="15.5" x14ac:dyDescent="0.35">
      <c r="A43" s="7" t="s">
        <v>139</v>
      </c>
      <c r="B43" s="28">
        <v>1</v>
      </c>
      <c r="C43" s="10">
        <f>'Ingredient Cost'!$D$89</f>
        <v>0.06</v>
      </c>
      <c r="D43" s="10">
        <f>B43*C43</f>
        <v>0.06</v>
      </c>
      <c r="E43" s="13"/>
      <c r="F43" s="7" t="s">
        <v>139</v>
      </c>
      <c r="G43" s="28">
        <v>1</v>
      </c>
      <c r="H43" s="10">
        <v>0.22</v>
      </c>
      <c r="I43" s="157">
        <f>H43*G43</f>
        <v>0.22</v>
      </c>
      <c r="J43" s="158"/>
      <c r="K43" s="7" t="s">
        <v>139</v>
      </c>
      <c r="L43" s="28">
        <v>1</v>
      </c>
      <c r="M43" s="10">
        <v>0.3</v>
      </c>
      <c r="N43" s="10">
        <v>0.3</v>
      </c>
    </row>
    <row r="44" spans="1:17" ht="15.5" x14ac:dyDescent="0.35">
      <c r="F44" s="7" t="s">
        <v>67</v>
      </c>
      <c r="G44" s="28">
        <v>1</v>
      </c>
      <c r="H44" s="10">
        <v>0.15</v>
      </c>
      <c r="I44" s="10">
        <v>0.15</v>
      </c>
      <c r="K44" s="7" t="s">
        <v>67</v>
      </c>
      <c r="L44" s="28">
        <v>1</v>
      </c>
      <c r="M44" s="10">
        <v>0.15</v>
      </c>
      <c r="N44" s="10">
        <v>0.15</v>
      </c>
    </row>
    <row r="45" spans="1:17" ht="15.5" x14ac:dyDescent="0.35">
      <c r="A45" s="6" t="s">
        <v>0</v>
      </c>
      <c r="B45" s="13"/>
      <c r="C45" s="15"/>
      <c r="D45" s="74">
        <f>SUM(D41:D43)</f>
        <v>1.0544486725237316</v>
      </c>
      <c r="E45" s="13"/>
      <c r="F45" s="7" t="s">
        <v>0</v>
      </c>
      <c r="G45" s="13"/>
      <c r="H45" s="15"/>
      <c r="I45" s="74">
        <f>SUM(I41:I44)</f>
        <v>2.1435001410492616</v>
      </c>
      <c r="J45" s="13"/>
      <c r="K45" s="7" t="s">
        <v>0</v>
      </c>
      <c r="L45" s="13"/>
      <c r="M45" s="15"/>
      <c r="N45" s="74">
        <f>SUM(N41:N44)</f>
        <v>4.9284460841463043</v>
      </c>
    </row>
    <row r="46" spans="1:17" ht="15.5" x14ac:dyDescent="0.35">
      <c r="A46" s="7"/>
      <c r="B46" s="13"/>
      <c r="C46" s="15"/>
      <c r="D46" s="74"/>
      <c r="E46" s="13"/>
      <c r="F46" s="7"/>
      <c r="G46" s="13"/>
      <c r="H46" s="15"/>
      <c r="I46" s="74"/>
      <c r="J46" s="13"/>
      <c r="K46" s="7"/>
      <c r="L46" s="13"/>
      <c r="M46" s="15"/>
      <c r="N46" s="74"/>
    </row>
    <row r="48" spans="1:17" ht="15.5" x14ac:dyDescent="0.35">
      <c r="A48" s="164" t="s">
        <v>461</v>
      </c>
      <c r="B48" s="165"/>
      <c r="C48" s="167"/>
      <c r="D48" s="189" t="s">
        <v>462</v>
      </c>
      <c r="E48" s="164" t="s">
        <v>456</v>
      </c>
      <c r="F48" s="164"/>
      <c r="G48" s="166"/>
      <c r="H48" s="167"/>
      <c r="I48" s="168"/>
      <c r="J48" s="166"/>
      <c r="K48" s="169"/>
      <c r="L48" s="169"/>
      <c r="M48" s="166"/>
      <c r="N48" s="166"/>
      <c r="O48" s="13"/>
      <c r="P48" s="13"/>
      <c r="Q48" s="13"/>
    </row>
    <row r="49" spans="1:17" ht="15.5" x14ac:dyDescent="0.35">
      <c r="A49" s="7"/>
      <c r="B49" s="13"/>
      <c r="C49" s="15"/>
      <c r="D49" s="20"/>
      <c r="E49" s="13"/>
      <c r="F49" s="22"/>
      <c r="G49" s="22"/>
      <c r="H49" s="22"/>
      <c r="I49" s="22"/>
      <c r="J49" s="22"/>
      <c r="K49" s="22"/>
      <c r="L49" s="22"/>
      <c r="M49" s="13"/>
      <c r="N49" s="13"/>
      <c r="O49" s="13"/>
      <c r="P49" s="13"/>
      <c r="Q49" s="13"/>
    </row>
    <row r="50" spans="1:17" ht="15.5" x14ac:dyDescent="0.35">
      <c r="A50" s="159" t="s">
        <v>166</v>
      </c>
      <c r="B50" s="160"/>
      <c r="C50" s="161"/>
      <c r="D50" s="162"/>
      <c r="F50" s="159" t="s">
        <v>42</v>
      </c>
      <c r="G50" s="159"/>
      <c r="H50" s="161"/>
      <c r="I50" s="162"/>
      <c r="K50" s="159" t="s">
        <v>43</v>
      </c>
      <c r="L50" s="160"/>
      <c r="M50" s="161"/>
      <c r="N50" s="162"/>
    </row>
    <row r="51" spans="1:17" ht="15.5" x14ac:dyDescent="0.35">
      <c r="A51" s="6"/>
      <c r="B51" s="7" t="s">
        <v>1</v>
      </c>
      <c r="C51" s="8" t="s">
        <v>2</v>
      </c>
      <c r="D51" s="8" t="s">
        <v>4</v>
      </c>
      <c r="E51" s="13"/>
      <c r="F51" s="7"/>
      <c r="G51" s="7" t="s">
        <v>1</v>
      </c>
      <c r="H51" s="8" t="s">
        <v>2</v>
      </c>
      <c r="I51" s="8" t="s">
        <v>4</v>
      </c>
      <c r="J51" s="13"/>
      <c r="K51" s="7"/>
      <c r="L51" s="7" t="s">
        <v>1</v>
      </c>
      <c r="M51" s="8" t="s">
        <v>2</v>
      </c>
      <c r="N51" s="8" t="s">
        <v>4</v>
      </c>
    </row>
    <row r="52" spans="1:17" ht="15.5" x14ac:dyDescent="0.35">
      <c r="A52" s="171" t="s">
        <v>463</v>
      </c>
      <c r="B52" s="170">
        <v>1</v>
      </c>
      <c r="C52" s="10">
        <f>$D$45</f>
        <v>1.0544486725237316</v>
      </c>
      <c r="D52" s="156">
        <f>B52*C52</f>
        <v>1.0544486725237316</v>
      </c>
      <c r="E52" s="158"/>
      <c r="F52" s="171" t="s">
        <v>463</v>
      </c>
      <c r="G52" s="170">
        <v>1</v>
      </c>
      <c r="H52" s="10">
        <f>$I$45</f>
        <v>2.1435001410492616</v>
      </c>
      <c r="I52" s="156">
        <f>G52*H52</f>
        <v>2.1435001410492616</v>
      </c>
      <c r="J52" s="158"/>
      <c r="K52" s="171" t="s">
        <v>463</v>
      </c>
      <c r="L52" s="170">
        <v>1</v>
      </c>
      <c r="M52" s="10">
        <f>$N$45</f>
        <v>4.9284460841463043</v>
      </c>
      <c r="N52" s="11">
        <f>L52*M52</f>
        <v>4.9284460841463043</v>
      </c>
    </row>
    <row r="53" spans="1:17" ht="15.5" x14ac:dyDescent="0.35">
      <c r="A53" s="7" t="s">
        <v>180</v>
      </c>
      <c r="B53" s="28">
        <v>60</v>
      </c>
      <c r="C53" s="10">
        <f>'Ingredient Cost'!$B$113</f>
        <v>20</v>
      </c>
      <c r="D53" s="10">
        <f>C53/B53</f>
        <v>0.33333333333333331</v>
      </c>
      <c r="E53" s="13"/>
      <c r="F53" s="7" t="s">
        <v>140</v>
      </c>
      <c r="G53" s="28">
        <v>48</v>
      </c>
      <c r="H53" s="10">
        <f>'Ingredient Cost'!$B$113</f>
        <v>20</v>
      </c>
      <c r="I53" s="157">
        <f>H53/G53</f>
        <v>0.41666666666666669</v>
      </c>
      <c r="J53" s="158"/>
      <c r="K53" s="7" t="s">
        <v>140</v>
      </c>
      <c r="L53" s="28">
        <v>50</v>
      </c>
      <c r="M53" s="10">
        <f>'Ingredient Cost'!$B$113</f>
        <v>20</v>
      </c>
      <c r="N53" s="10">
        <f>M53/L53</f>
        <v>0.4</v>
      </c>
    </row>
    <row r="54" spans="1:17" ht="15.5" x14ac:dyDescent="0.35">
      <c r="A54" s="6" t="s">
        <v>0</v>
      </c>
      <c r="B54" s="13"/>
      <c r="C54" s="15"/>
      <c r="D54" s="74">
        <f>SUM(D52:D53)</f>
        <v>1.3877820058570649</v>
      </c>
      <c r="E54" s="13"/>
      <c r="F54" s="7" t="s">
        <v>0</v>
      </c>
      <c r="G54" s="13"/>
      <c r="H54" s="15"/>
      <c r="I54" s="74">
        <f>SUM(I52:I53)</f>
        <v>2.5601668077159281</v>
      </c>
      <c r="J54" s="13"/>
      <c r="K54" s="7" t="s">
        <v>0</v>
      </c>
      <c r="L54" s="13"/>
      <c r="M54" s="15"/>
      <c r="N54" s="74">
        <f>SUM(N52:N53)</f>
        <v>5.3284460841463046</v>
      </c>
    </row>
    <row r="55" spans="1:17" ht="15.5" x14ac:dyDescent="0.35">
      <c r="A55" s="7"/>
      <c r="B55" s="13"/>
      <c r="C55" s="15"/>
      <c r="D55" s="74"/>
      <c r="E55" s="13"/>
      <c r="F55" s="7"/>
      <c r="G55" s="13"/>
      <c r="H55" s="15"/>
      <c r="I55" s="74"/>
      <c r="J55" s="13"/>
      <c r="K55" s="7"/>
      <c r="L55" s="13"/>
      <c r="M55" s="15"/>
      <c r="N55" s="74"/>
    </row>
    <row r="56" spans="1:17" ht="15.5" x14ac:dyDescent="0.35">
      <c r="A56" s="7"/>
      <c r="B56" s="74" t="s">
        <v>467</v>
      </c>
      <c r="C56" s="163"/>
      <c r="D56" s="191">
        <f>D$53/D$52</f>
        <v>0.31612096635820958</v>
      </c>
      <c r="E56" s="13"/>
      <c r="F56" s="7"/>
      <c r="G56" s="74" t="s">
        <v>467</v>
      </c>
      <c r="H56" s="74"/>
      <c r="I56" s="191">
        <f>I$53/I$52</f>
        <v>0.19438611581462495</v>
      </c>
      <c r="J56" s="13"/>
      <c r="K56" s="7"/>
      <c r="L56" s="74" t="s">
        <v>467</v>
      </c>
      <c r="M56" s="163"/>
      <c r="N56" s="191">
        <f>N$53/N$52</f>
        <v>8.1161484405137249E-2</v>
      </c>
    </row>
    <row r="57" spans="1:17" ht="15.5" x14ac:dyDescent="0.35">
      <c r="A57" s="164" t="s">
        <v>448</v>
      </c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</row>
    <row r="59" spans="1:17" ht="15.5" x14ac:dyDescent="0.35">
      <c r="A59" s="190" t="s">
        <v>466</v>
      </c>
      <c r="B59" s="159"/>
      <c r="C59" s="161"/>
      <c r="D59" s="162"/>
      <c r="F59" s="190" t="s">
        <v>465</v>
      </c>
      <c r="G59" s="159"/>
      <c r="H59" s="161"/>
      <c r="I59" s="162"/>
      <c r="K59" s="7"/>
      <c r="L59" s="47"/>
      <c r="M59" s="48"/>
      <c r="N59" s="49"/>
    </row>
    <row r="60" spans="1:17" ht="15.5" x14ac:dyDescent="0.35">
      <c r="A60" s="7"/>
      <c r="B60" s="7" t="s">
        <v>1</v>
      </c>
      <c r="C60" s="8" t="s">
        <v>2</v>
      </c>
      <c r="D60" s="8" t="s">
        <v>4</v>
      </c>
      <c r="E60" s="13"/>
      <c r="F60" s="7"/>
      <c r="G60" s="7" t="s">
        <v>1</v>
      </c>
      <c r="H60" s="8" t="s">
        <v>2</v>
      </c>
      <c r="I60" s="8" t="s">
        <v>4</v>
      </c>
      <c r="J60" s="13"/>
      <c r="K60" s="7"/>
      <c r="L60" s="7"/>
      <c r="M60" s="8"/>
      <c r="N60" s="8"/>
    </row>
    <row r="61" spans="1:17" ht="15.5" x14ac:dyDescent="0.35">
      <c r="A61" s="7" t="s">
        <v>454</v>
      </c>
      <c r="B61" s="28">
        <v>9</v>
      </c>
      <c r="C61" s="10">
        <f>D54</f>
        <v>1.3877820058570649</v>
      </c>
      <c r="D61" s="11">
        <f>B61*C61</f>
        <v>12.490038052713585</v>
      </c>
      <c r="E61" s="13"/>
      <c r="F61" s="7" t="s">
        <v>454</v>
      </c>
      <c r="G61" s="28">
        <v>4</v>
      </c>
      <c r="H61" s="10">
        <f>I54</f>
        <v>2.5601668077159281</v>
      </c>
      <c r="I61" s="11">
        <f>G61*H61</f>
        <v>10.240667230863712</v>
      </c>
      <c r="J61" s="13"/>
      <c r="K61" s="7"/>
      <c r="L61" s="13"/>
      <c r="M61" s="15"/>
      <c r="N61" s="74"/>
    </row>
    <row r="62" spans="1:17" ht="15.5" x14ac:dyDescent="0.35">
      <c r="A62" s="7" t="s">
        <v>464</v>
      </c>
      <c r="B62" s="28">
        <v>1</v>
      </c>
      <c r="C62" s="10">
        <f>'Ingredient Cost'!D108</f>
        <v>0.2</v>
      </c>
      <c r="D62" s="10">
        <f>B62*C62</f>
        <v>0.2</v>
      </c>
      <c r="E62" s="13"/>
      <c r="F62" s="7" t="s">
        <v>464</v>
      </c>
      <c r="G62" s="28">
        <v>1</v>
      </c>
      <c r="H62" s="10">
        <f>C62</f>
        <v>0.2</v>
      </c>
      <c r="I62" s="10">
        <f>G62*H62</f>
        <v>0.2</v>
      </c>
      <c r="J62" s="13"/>
      <c r="K62" s="7"/>
      <c r="L62" s="13"/>
      <c r="M62" s="15"/>
      <c r="N62" s="15"/>
    </row>
    <row r="63" spans="1:17" ht="15.5" x14ac:dyDescent="0.35">
      <c r="A63" s="7" t="s">
        <v>180</v>
      </c>
      <c r="B63" s="28">
        <v>180</v>
      </c>
      <c r="C63" s="10">
        <f>C53</f>
        <v>20</v>
      </c>
      <c r="D63" s="10">
        <f>C63/B63</f>
        <v>0.1111111111111111</v>
      </c>
      <c r="E63" s="13"/>
      <c r="F63" s="7" t="s">
        <v>180</v>
      </c>
      <c r="G63" s="28">
        <v>180</v>
      </c>
      <c r="H63" s="10">
        <f>C53</f>
        <v>20</v>
      </c>
      <c r="I63" s="10">
        <f>H63/G63</f>
        <v>0.1111111111111111</v>
      </c>
      <c r="J63" s="13"/>
      <c r="K63" s="7"/>
      <c r="L63" s="13"/>
      <c r="M63" s="15"/>
      <c r="N63" s="15"/>
    </row>
    <row r="64" spans="1:17" ht="15.5" x14ac:dyDescent="0.35">
      <c r="A64" s="7" t="s">
        <v>184</v>
      </c>
      <c r="B64" s="28">
        <v>1</v>
      </c>
      <c r="C64" s="10">
        <v>0.01</v>
      </c>
      <c r="D64" s="10">
        <f>B64*C64</f>
        <v>0.01</v>
      </c>
      <c r="E64" s="13"/>
      <c r="F64" s="7" t="s">
        <v>184</v>
      </c>
      <c r="G64" s="28">
        <v>1</v>
      </c>
      <c r="H64" s="10">
        <v>0.01</v>
      </c>
      <c r="I64" s="10">
        <f>G64*H64</f>
        <v>0.01</v>
      </c>
      <c r="J64" s="13"/>
      <c r="K64" s="7"/>
      <c r="L64" s="13"/>
      <c r="M64" s="15"/>
      <c r="N64" s="15"/>
    </row>
    <row r="65" spans="1:14" ht="15.5" x14ac:dyDescent="0.35">
      <c r="A65" s="7" t="s">
        <v>0</v>
      </c>
      <c r="B65" s="13"/>
      <c r="C65" s="15"/>
      <c r="D65" s="74">
        <f>SUM(D61:D64)</f>
        <v>12.811149163824695</v>
      </c>
      <c r="E65" s="13"/>
      <c r="F65" s="7" t="s">
        <v>0</v>
      </c>
      <c r="G65" s="13"/>
      <c r="H65" s="15"/>
      <c r="I65" s="74">
        <f>SUM(I61:I64)</f>
        <v>10.561778341974822</v>
      </c>
      <c r="J65" s="13"/>
      <c r="K65" s="7"/>
      <c r="L65" s="13"/>
      <c r="M65" s="15"/>
      <c r="N65" s="82"/>
    </row>
    <row r="66" spans="1:14" ht="15.5" x14ac:dyDescent="0.35">
      <c r="A66" s="7" t="s">
        <v>182</v>
      </c>
      <c r="D66" s="74">
        <f>D65/9</f>
        <v>1.4234610182027438</v>
      </c>
      <c r="F66" s="7" t="s">
        <v>182</v>
      </c>
      <c r="I66" s="74">
        <f>I65/4</f>
        <v>2.6404445854937055</v>
      </c>
    </row>
    <row r="67" spans="1:14" ht="15.5" x14ac:dyDescent="0.35">
      <c r="A67" s="7"/>
      <c r="D67" s="74"/>
      <c r="F67" s="7"/>
      <c r="I67" s="74"/>
    </row>
    <row r="68" spans="1:14" ht="15.5" x14ac:dyDescent="0.35">
      <c r="A68" s="190" t="s">
        <v>475</v>
      </c>
      <c r="B68" s="159"/>
      <c r="C68" s="161"/>
      <c r="D68" s="162"/>
      <c r="F68" s="7"/>
      <c r="I68" s="74"/>
    </row>
    <row r="69" spans="1:14" ht="15.5" x14ac:dyDescent="0.35">
      <c r="A69" s="7"/>
      <c r="B69" s="7" t="s">
        <v>1</v>
      </c>
      <c r="C69" s="8" t="s">
        <v>2</v>
      </c>
      <c r="D69" s="8" t="s">
        <v>4</v>
      </c>
    </row>
    <row r="70" spans="1:14" ht="15.5" x14ac:dyDescent="0.35">
      <c r="A70" s="7" t="s">
        <v>454</v>
      </c>
      <c r="B70" s="28">
        <v>6</v>
      </c>
      <c r="C70" s="10">
        <f>D54</f>
        <v>1.3877820058570649</v>
      </c>
      <c r="D70" s="11">
        <f>B70*C70</f>
        <v>8.3266920351423899</v>
      </c>
    </row>
    <row r="71" spans="1:14" ht="15.5" x14ac:dyDescent="0.35">
      <c r="A71" s="7" t="s">
        <v>464</v>
      </c>
      <c r="B71" s="28">
        <v>1</v>
      </c>
      <c r="C71" s="10">
        <f>'Ingredient Cost'!D108</f>
        <v>0.2</v>
      </c>
      <c r="D71" s="10">
        <f>B71*C71</f>
        <v>0.2</v>
      </c>
    </row>
    <row r="72" spans="1:14" ht="15.5" x14ac:dyDescent="0.35">
      <c r="A72" s="7" t="s">
        <v>180</v>
      </c>
      <c r="B72" s="28">
        <v>180</v>
      </c>
      <c r="C72" s="10">
        <v>20</v>
      </c>
      <c r="D72" s="10">
        <f>C72/B72</f>
        <v>0.1111111111111111</v>
      </c>
    </row>
    <row r="73" spans="1:14" ht="15.5" x14ac:dyDescent="0.35">
      <c r="A73" s="7" t="s">
        <v>184</v>
      </c>
      <c r="B73" s="28">
        <v>1</v>
      </c>
      <c r="C73" s="10">
        <v>0.01</v>
      </c>
      <c r="D73" s="10">
        <f>B73*C73</f>
        <v>0.01</v>
      </c>
    </row>
    <row r="74" spans="1:14" ht="15.5" x14ac:dyDescent="0.35">
      <c r="A74" s="7" t="s">
        <v>0</v>
      </c>
      <c r="B74" s="13"/>
      <c r="C74" s="15"/>
      <c r="D74" s="74">
        <f>SUM(D70:D73)</f>
        <v>8.6478031462534997</v>
      </c>
    </row>
    <row r="75" spans="1:14" ht="15.5" x14ac:dyDescent="0.35">
      <c r="A75" s="7" t="s">
        <v>182</v>
      </c>
      <c r="D75" s="74">
        <f>D74/6</f>
        <v>1.4413005243755832</v>
      </c>
    </row>
    <row r="77" spans="1:14" ht="15.5" x14ac:dyDescent="0.35">
      <c r="A77" s="190" t="s">
        <v>476</v>
      </c>
      <c r="B77" s="159"/>
      <c r="C77" s="161"/>
      <c r="D77" s="162"/>
    </row>
    <row r="78" spans="1:14" ht="15.5" x14ac:dyDescent="0.35">
      <c r="A78" s="7"/>
      <c r="B78" s="7" t="s">
        <v>1</v>
      </c>
      <c r="C78" s="8" t="s">
        <v>2</v>
      </c>
      <c r="D78" s="8" t="s">
        <v>4</v>
      </c>
    </row>
    <row r="79" spans="1:14" ht="15.5" x14ac:dyDescent="0.35">
      <c r="A79" s="7" t="s">
        <v>454</v>
      </c>
      <c r="B79" s="28">
        <v>12</v>
      </c>
      <c r="C79" s="10">
        <f>(D35+D53)</f>
        <v>1.237782005857065</v>
      </c>
      <c r="D79" s="11">
        <f>B79*C79</f>
        <v>14.853384070284779</v>
      </c>
    </row>
    <row r="80" spans="1:14" ht="15.5" x14ac:dyDescent="0.35">
      <c r="A80" s="7" t="s">
        <v>464</v>
      </c>
      <c r="B80" s="28">
        <v>1</v>
      </c>
      <c r="C80" s="10">
        <v>0.2</v>
      </c>
      <c r="D80" s="10">
        <f>B80*C80</f>
        <v>0.2</v>
      </c>
    </row>
    <row r="81" spans="1:4" ht="15.5" x14ac:dyDescent="0.35">
      <c r="A81" s="7" t="s">
        <v>180</v>
      </c>
      <c r="B81" s="28">
        <v>180</v>
      </c>
      <c r="C81" s="10">
        <v>20</v>
      </c>
      <c r="D81" s="10">
        <f>C81/B81</f>
        <v>0.1111111111111111</v>
      </c>
    </row>
    <row r="82" spans="1:4" ht="15.5" x14ac:dyDescent="0.35">
      <c r="A82" s="7" t="s">
        <v>184</v>
      </c>
      <c r="B82" s="28">
        <v>1</v>
      </c>
      <c r="C82" s="10">
        <v>0.01</v>
      </c>
      <c r="D82" s="10">
        <f>B82*C82</f>
        <v>0.01</v>
      </c>
    </row>
    <row r="83" spans="1:4" ht="15.5" x14ac:dyDescent="0.35">
      <c r="A83" s="7" t="s">
        <v>0</v>
      </c>
      <c r="B83" s="13"/>
      <c r="C83" s="15"/>
      <c r="D83" s="74">
        <f>SUM(D79:D82)</f>
        <v>15.174495181395889</v>
      </c>
    </row>
    <row r="84" spans="1:4" ht="15.5" x14ac:dyDescent="0.35">
      <c r="A84" s="7" t="s">
        <v>182</v>
      </c>
      <c r="D84" s="74">
        <f>D83/6</f>
        <v>2.5290825302326483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  <ignoredErrors>
    <ignoredError sqref="N33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56"/>
  <sheetViews>
    <sheetView workbookViewId="0">
      <selection activeCell="C19" sqref="C19"/>
    </sheetView>
  </sheetViews>
  <sheetFormatPr defaultRowHeight="12.5" x14ac:dyDescent="0.25"/>
  <cols>
    <col min="1" max="1" width="22.81640625" customWidth="1"/>
    <col min="5" max="5" width="11.453125" customWidth="1"/>
    <col min="6" max="6" width="21.81640625" customWidth="1"/>
    <col min="9" max="9" width="12.81640625" customWidth="1"/>
    <col min="11" max="11" width="21.8164062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123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124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120</v>
      </c>
      <c r="B18" s="28">
        <v>3</v>
      </c>
      <c r="C18" s="10">
        <f>'Ingredient Cost'!D59</f>
        <v>8.5</v>
      </c>
      <c r="D18" s="11">
        <f>B18*C18</f>
        <v>25.5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79</v>
      </c>
      <c r="B19" s="28">
        <v>0.8</v>
      </c>
      <c r="C19" s="10">
        <f>'Ingredient Cost'!D29</f>
        <v>1.38</v>
      </c>
      <c r="D19" s="11">
        <f>B19*C19</f>
        <v>1.1039999999999999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121</v>
      </c>
      <c r="B20" s="28">
        <v>1.4</v>
      </c>
      <c r="C20" s="10">
        <v>0</v>
      </c>
      <c r="D20" s="11">
        <f>B20*C20</f>
        <v>0</v>
      </c>
      <c r="E20" s="13"/>
      <c r="F20" s="6"/>
      <c r="G20" s="13"/>
      <c r="H20" s="15"/>
      <c r="I20" s="74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122</v>
      </c>
      <c r="B21" s="28">
        <v>0.45</v>
      </c>
      <c r="C21" s="10">
        <f>'Ingredient Cost'!D21</f>
        <v>8.9</v>
      </c>
      <c r="D21" s="10">
        <f>B21*C21</f>
        <v>4.0049999999999999</v>
      </c>
      <c r="E21" s="13"/>
      <c r="F21" s="6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/>
      <c r="B22" s="28"/>
      <c r="C22" s="10"/>
      <c r="D22" s="10"/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/>
      <c r="B23" s="12"/>
      <c r="C23" s="10"/>
      <c r="D23" s="10"/>
      <c r="E23" s="13"/>
      <c r="F23" s="7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6"/>
      <c r="B24" s="12">
        <f>SUM(B18:B22)</f>
        <v>5.6499999999999995</v>
      </c>
      <c r="C24" s="10"/>
      <c r="D24" s="10">
        <f>SUM(D18:D22)</f>
        <v>30.608999999999998</v>
      </c>
      <c r="E24" s="13"/>
      <c r="F24" s="6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4"/>
      <c r="E25" s="13"/>
      <c r="F25" s="13"/>
      <c r="G25" s="13"/>
      <c r="H25" s="15"/>
      <c r="I25" s="15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19">
        <f>D24/B24</f>
        <v>5.4175221238938054</v>
      </c>
      <c r="E26" s="13"/>
      <c r="F26" s="6"/>
      <c r="G26" s="13"/>
      <c r="H26" s="15"/>
      <c r="I26" s="20"/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21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7" t="s">
        <v>3</v>
      </c>
      <c r="B28" s="47" t="s">
        <v>131</v>
      </c>
      <c r="C28" s="48"/>
      <c r="D28" s="49"/>
      <c r="F28" s="7" t="s">
        <v>3</v>
      </c>
      <c r="G28" s="47" t="s">
        <v>132</v>
      </c>
      <c r="H28" s="48"/>
      <c r="I28" s="49"/>
      <c r="K28" s="7" t="s">
        <v>3</v>
      </c>
      <c r="L28" s="47" t="s">
        <v>133</v>
      </c>
      <c r="M28" s="48"/>
      <c r="N28" s="49"/>
    </row>
    <row r="29" spans="1:17" ht="15.5" x14ac:dyDescent="0.35">
      <c r="A29" s="6" t="s">
        <v>7</v>
      </c>
      <c r="B29" s="3" t="s">
        <v>26</v>
      </c>
      <c r="C29" s="4"/>
      <c r="D29" s="18"/>
      <c r="E29" s="13"/>
      <c r="F29" s="6" t="s">
        <v>7</v>
      </c>
      <c r="G29" s="3" t="s">
        <v>26</v>
      </c>
      <c r="H29" s="4"/>
      <c r="I29" s="18"/>
      <c r="J29" s="13"/>
      <c r="K29" s="6" t="s">
        <v>7</v>
      </c>
      <c r="L29" s="3" t="s">
        <v>26</v>
      </c>
      <c r="M29" s="4"/>
      <c r="N29" s="18"/>
    </row>
    <row r="30" spans="1:17" ht="15.5" x14ac:dyDescent="0.35">
      <c r="A30" s="6" t="s">
        <v>8</v>
      </c>
      <c r="B30" s="5" t="s">
        <v>25</v>
      </c>
      <c r="C30" s="4"/>
      <c r="D30" s="18"/>
      <c r="E30" s="13"/>
      <c r="F30" s="6" t="s">
        <v>8</v>
      </c>
      <c r="G30" s="5" t="s">
        <v>25</v>
      </c>
      <c r="H30" s="4"/>
      <c r="I30" s="18"/>
      <c r="J30" s="13"/>
      <c r="K30" s="6" t="s">
        <v>8</v>
      </c>
      <c r="L30" s="5" t="s">
        <v>25</v>
      </c>
      <c r="M30" s="4"/>
      <c r="N30" s="18"/>
    </row>
    <row r="31" spans="1:17" ht="15.5" x14ac:dyDescent="0.35">
      <c r="A31" s="6" t="s">
        <v>9</v>
      </c>
      <c r="B31" s="5" t="s">
        <v>25</v>
      </c>
      <c r="C31" s="4"/>
      <c r="D31" s="18"/>
      <c r="E31" s="13"/>
      <c r="F31" s="6" t="s">
        <v>9</v>
      </c>
      <c r="G31" s="5" t="s">
        <v>25</v>
      </c>
      <c r="H31" s="4"/>
      <c r="I31" s="18"/>
      <c r="J31" s="13"/>
      <c r="K31" s="6" t="s">
        <v>9</v>
      </c>
      <c r="L31" s="5" t="s">
        <v>25</v>
      </c>
      <c r="M31" s="4"/>
      <c r="N31" s="18"/>
    </row>
    <row r="32" spans="1:17" ht="15.5" x14ac:dyDescent="0.35">
      <c r="A32" s="6"/>
      <c r="B32" s="7" t="s">
        <v>1</v>
      </c>
      <c r="C32" s="8" t="s">
        <v>2</v>
      </c>
      <c r="D32" s="9" t="s">
        <v>4</v>
      </c>
      <c r="E32" s="13"/>
      <c r="F32" s="6"/>
      <c r="G32" s="7" t="s">
        <v>1</v>
      </c>
      <c r="H32" s="8" t="s">
        <v>2</v>
      </c>
      <c r="I32" s="9" t="s">
        <v>4</v>
      </c>
      <c r="J32" s="13"/>
      <c r="K32" s="6"/>
      <c r="L32" s="7" t="s">
        <v>1</v>
      </c>
      <c r="M32" s="8" t="s">
        <v>2</v>
      </c>
      <c r="N32" s="9" t="s">
        <v>4</v>
      </c>
    </row>
    <row r="33" spans="1:14" ht="15.5" x14ac:dyDescent="0.35">
      <c r="A33" s="6" t="s">
        <v>124</v>
      </c>
      <c r="B33" s="28">
        <v>0.129</v>
      </c>
      <c r="C33" s="10">
        <f>D26</f>
        <v>5.4175221238938054</v>
      </c>
      <c r="D33" s="11">
        <f>B33*C33</f>
        <v>0.69886035398230095</v>
      </c>
      <c r="E33" s="13"/>
      <c r="F33" s="6" t="s">
        <v>124</v>
      </c>
      <c r="G33" s="28">
        <v>0.25700000000000001</v>
      </c>
      <c r="H33" s="10">
        <f>D26</f>
        <v>5.4175221238938054</v>
      </c>
      <c r="I33" s="11">
        <f>G33*H33</f>
        <v>1.392303185840708</v>
      </c>
      <c r="J33" s="13"/>
      <c r="K33" s="6" t="s">
        <v>124</v>
      </c>
      <c r="L33" s="28">
        <v>0.74</v>
      </c>
      <c r="M33" s="10">
        <f>D26</f>
        <v>5.4175221238938054</v>
      </c>
      <c r="N33" s="11">
        <f>L33*M33</f>
        <v>4.0089663716814163</v>
      </c>
    </row>
    <row r="34" spans="1:14" ht="15.5" x14ac:dyDescent="0.35">
      <c r="A34" s="6" t="s">
        <v>152</v>
      </c>
      <c r="B34" s="28"/>
      <c r="C34" s="10">
        <f>'Pastry Costing'!F30</f>
        <v>0.2107946902228468</v>
      </c>
      <c r="D34" s="11">
        <f>C34</f>
        <v>0.2107946902228468</v>
      </c>
      <c r="E34" s="13"/>
      <c r="F34" s="6" t="s">
        <v>151</v>
      </c>
      <c r="G34" s="28"/>
      <c r="H34" s="10">
        <f>'Pastry Costing'!F31</f>
        <v>0.34141430034129694</v>
      </c>
      <c r="I34" s="11">
        <f>H34</f>
        <v>0.34141430034129694</v>
      </c>
      <c r="J34" s="13"/>
      <c r="K34" s="6" t="s">
        <v>151</v>
      </c>
      <c r="L34" s="28"/>
      <c r="M34" s="10">
        <f>'Pastry Costing'!F32</f>
        <v>0.52407440273037542</v>
      </c>
      <c r="N34" s="11">
        <f>M34</f>
        <v>0.52407440273037542</v>
      </c>
    </row>
    <row r="35" spans="1:14" ht="15.5" x14ac:dyDescent="0.35">
      <c r="A35" s="6" t="s">
        <v>106</v>
      </c>
      <c r="B35" s="28"/>
      <c r="C35" s="10">
        <f>'Ingredient Cost'!D95</f>
        <v>0.09</v>
      </c>
      <c r="D35" s="11">
        <f>C35</f>
        <v>0.09</v>
      </c>
      <c r="E35" s="13"/>
      <c r="F35" s="6" t="s">
        <v>106</v>
      </c>
      <c r="G35" s="28"/>
      <c r="H35" s="10">
        <f>'Ingredient Cost'!D96</f>
        <v>0.12</v>
      </c>
      <c r="I35" s="11">
        <f>H35</f>
        <v>0.12</v>
      </c>
      <c r="J35" s="13"/>
      <c r="K35" s="6" t="s">
        <v>106</v>
      </c>
      <c r="L35" s="28"/>
      <c r="M35" s="10">
        <f>'Ingredient Cost'!D97</f>
        <v>0.2</v>
      </c>
      <c r="N35" s="11">
        <f>M35</f>
        <v>0.2</v>
      </c>
    </row>
    <row r="36" spans="1:14" ht="15.5" x14ac:dyDescent="0.35">
      <c r="A36" s="6" t="s">
        <v>115</v>
      </c>
      <c r="B36" s="28"/>
      <c r="C36" s="10">
        <f>'Ingredient Cost'!C35</f>
        <v>0</v>
      </c>
      <c r="D36" s="10">
        <f>B36*C36</f>
        <v>0</v>
      </c>
      <c r="E36" s="13"/>
      <c r="F36" s="6" t="s">
        <v>115</v>
      </c>
      <c r="G36" s="28"/>
      <c r="H36" s="10">
        <f>'Ingredient Cost'!H35</f>
        <v>0</v>
      </c>
      <c r="I36" s="10">
        <f>G36*H36</f>
        <v>0</v>
      </c>
      <c r="J36" s="13"/>
      <c r="K36" s="6" t="s">
        <v>115</v>
      </c>
      <c r="L36" s="28"/>
      <c r="M36" s="10">
        <f>'Ingredient Cost'!M35</f>
        <v>0</v>
      </c>
      <c r="N36" s="10">
        <f>L36*M36</f>
        <v>0</v>
      </c>
    </row>
    <row r="37" spans="1:14" ht="15.5" x14ac:dyDescent="0.35">
      <c r="A37" s="7" t="s">
        <v>140</v>
      </c>
      <c r="B37" s="28">
        <v>90</v>
      </c>
      <c r="C37" s="10">
        <f>'Steak Pie v2'!C53</f>
        <v>20</v>
      </c>
      <c r="D37" s="10">
        <f>C37/B37</f>
        <v>0.22222222222222221</v>
      </c>
      <c r="E37" s="13"/>
      <c r="F37" s="7" t="s">
        <v>140</v>
      </c>
      <c r="G37" s="28">
        <v>48</v>
      </c>
      <c r="H37" s="10">
        <f>C37</f>
        <v>20</v>
      </c>
      <c r="I37" s="10">
        <f>H37/G37</f>
        <v>0.41666666666666669</v>
      </c>
      <c r="J37" s="13"/>
      <c r="K37" s="7" t="s">
        <v>140</v>
      </c>
      <c r="L37" s="28">
        <v>32</v>
      </c>
      <c r="M37" s="10">
        <f>C37</f>
        <v>20</v>
      </c>
      <c r="N37" s="10">
        <f>M37/L37</f>
        <v>0.625</v>
      </c>
    </row>
    <row r="38" spans="1:14" ht="15.5" x14ac:dyDescent="0.35">
      <c r="A38" s="7"/>
      <c r="B38" s="12"/>
      <c r="C38" s="10"/>
      <c r="D38" s="10"/>
      <c r="E38" s="13"/>
      <c r="F38" s="7"/>
      <c r="G38" s="12"/>
      <c r="H38" s="10"/>
      <c r="I38" s="10"/>
      <c r="J38" s="13"/>
      <c r="K38" s="7"/>
      <c r="L38" s="12"/>
      <c r="M38" s="10"/>
      <c r="N38" s="10"/>
    </row>
    <row r="39" spans="1:14" ht="13" x14ac:dyDescent="0.3">
      <c r="A39" s="13"/>
      <c r="B39" s="13"/>
      <c r="C39" s="15"/>
      <c r="D39" s="14"/>
      <c r="E39" s="13"/>
      <c r="F39" s="13"/>
      <c r="G39" s="13"/>
      <c r="H39" s="15"/>
      <c r="I39" s="14"/>
      <c r="J39" s="13"/>
      <c r="K39" s="13"/>
      <c r="L39" s="13"/>
      <c r="M39" s="15"/>
      <c r="N39" s="14"/>
    </row>
    <row r="40" spans="1:14" ht="15.5" x14ac:dyDescent="0.35">
      <c r="A40" s="6" t="s">
        <v>0</v>
      </c>
      <c r="B40" s="13"/>
      <c r="C40" s="15"/>
      <c r="D40" s="19">
        <f>SUM(D33:D37)</f>
        <v>1.22187726642737</v>
      </c>
      <c r="E40" s="13"/>
      <c r="F40" s="6" t="s">
        <v>0</v>
      </c>
      <c r="G40" s="13"/>
      <c r="H40" s="15"/>
      <c r="I40" s="19">
        <f>SUM(I33:I37)</f>
        <v>2.2703841528486715</v>
      </c>
      <c r="J40" s="13"/>
      <c r="K40" s="6" t="s">
        <v>0</v>
      </c>
      <c r="L40" s="13"/>
      <c r="M40" s="15"/>
      <c r="N40" s="19">
        <f>SUM(N33:N37)</f>
        <v>5.3580407744117915</v>
      </c>
    </row>
    <row r="43" spans="1:14" ht="15.5" x14ac:dyDescent="0.35">
      <c r="A43" s="7"/>
      <c r="B43" s="47"/>
      <c r="C43" s="48"/>
      <c r="D43" s="49"/>
      <c r="F43" s="7"/>
      <c r="G43" s="47"/>
      <c r="H43" s="48"/>
      <c r="I43" s="49"/>
      <c r="K43" s="7"/>
      <c r="L43" s="47"/>
      <c r="M43" s="48"/>
      <c r="N43" s="49"/>
    </row>
    <row r="44" spans="1:14" ht="15.5" x14ac:dyDescent="0.35">
      <c r="A44" s="7" t="s">
        <v>3</v>
      </c>
      <c r="B44" s="47" t="s">
        <v>181</v>
      </c>
      <c r="C44" s="48"/>
      <c r="D44" s="49"/>
      <c r="F44" s="7" t="s">
        <v>3</v>
      </c>
      <c r="G44" s="47" t="s">
        <v>183</v>
      </c>
      <c r="H44" s="48"/>
      <c r="I44" s="49"/>
      <c r="J44" s="13"/>
      <c r="K44" s="7"/>
      <c r="L44" s="3"/>
      <c r="M44" s="4"/>
      <c r="N44" s="4"/>
    </row>
    <row r="45" spans="1:14" ht="15.5" x14ac:dyDescent="0.35">
      <c r="A45" s="6"/>
      <c r="B45" s="7" t="s">
        <v>1</v>
      </c>
      <c r="C45" s="8" t="s">
        <v>2</v>
      </c>
      <c r="D45" s="9" t="s">
        <v>4</v>
      </c>
      <c r="E45" s="13"/>
      <c r="F45" s="6"/>
      <c r="G45" s="7" t="s">
        <v>1</v>
      </c>
      <c r="H45" s="8" t="s">
        <v>2</v>
      </c>
      <c r="I45" s="9" t="s">
        <v>4</v>
      </c>
      <c r="J45" s="13"/>
      <c r="K45" s="7"/>
      <c r="L45" s="5"/>
      <c r="M45" s="4"/>
      <c r="N45" s="4"/>
    </row>
    <row r="46" spans="1:14" ht="15.5" x14ac:dyDescent="0.35">
      <c r="A46" s="6" t="s">
        <v>138</v>
      </c>
      <c r="B46" s="28">
        <v>9</v>
      </c>
      <c r="C46" s="10">
        <f>D40</f>
        <v>1.22187726642737</v>
      </c>
      <c r="D46" s="11">
        <f>B46*C46</f>
        <v>10.99689539784633</v>
      </c>
      <c r="E46" s="13"/>
      <c r="F46" s="6" t="s">
        <v>138</v>
      </c>
      <c r="G46" s="28">
        <v>6</v>
      </c>
      <c r="H46" s="10">
        <f>I40</f>
        <v>2.2703841528486715</v>
      </c>
      <c r="I46" s="11">
        <f>G46*H46</f>
        <v>13.622304917092029</v>
      </c>
      <c r="J46" s="13"/>
      <c r="K46" s="7"/>
      <c r="L46" s="5"/>
      <c r="M46" s="4"/>
      <c r="N46" s="4"/>
    </row>
    <row r="47" spans="1:14" ht="15.5" x14ac:dyDescent="0.35">
      <c r="A47" s="6" t="s">
        <v>94</v>
      </c>
      <c r="B47" s="28">
        <v>1</v>
      </c>
      <c r="C47" s="10">
        <f>'Ingredient Cost'!D86</f>
        <v>0.12</v>
      </c>
      <c r="D47" s="11">
        <f>B47*C47</f>
        <v>0.12</v>
      </c>
      <c r="E47" s="13"/>
      <c r="F47" s="6" t="s">
        <v>94</v>
      </c>
      <c r="G47" s="28">
        <v>1</v>
      </c>
      <c r="H47" s="10">
        <f>C47</f>
        <v>0.12</v>
      </c>
      <c r="I47" s="11">
        <f>G47*H47</f>
        <v>0.12</v>
      </c>
      <c r="J47" s="13"/>
      <c r="K47" s="7"/>
      <c r="L47" s="7"/>
      <c r="M47" s="8"/>
      <c r="N47" s="8"/>
    </row>
    <row r="48" spans="1:14" ht="15.5" x14ac:dyDescent="0.35">
      <c r="A48" s="6" t="s">
        <v>139</v>
      </c>
      <c r="B48" s="28">
        <v>9</v>
      </c>
      <c r="C48" s="10">
        <f>'Ingredient Cost'!D90</f>
        <v>0.22</v>
      </c>
      <c r="D48" s="10">
        <f>B48*C48</f>
        <v>1.98</v>
      </c>
      <c r="E48" s="13"/>
      <c r="F48" s="6" t="s">
        <v>139</v>
      </c>
      <c r="G48" s="28">
        <v>6</v>
      </c>
      <c r="H48" s="10" t="e">
        <f>'Steak Pie v2'!#REF!</f>
        <v>#REF!</v>
      </c>
      <c r="I48" s="10" t="e">
        <f>G48*H48</f>
        <v>#REF!</v>
      </c>
      <c r="J48" s="13"/>
      <c r="K48" s="7"/>
      <c r="L48" s="13"/>
      <c r="M48" s="15"/>
      <c r="N48" s="74"/>
    </row>
    <row r="49" spans="1:14" ht="15.5" x14ac:dyDescent="0.35">
      <c r="A49" s="7" t="s">
        <v>66</v>
      </c>
      <c r="B49" s="28">
        <v>1</v>
      </c>
      <c r="C49" s="10">
        <f>'Ingredient Cost'!D108</f>
        <v>0.2</v>
      </c>
      <c r="D49" s="10">
        <f>B49*C49</f>
        <v>0.2</v>
      </c>
      <c r="E49" s="13"/>
      <c r="F49" s="7" t="s">
        <v>66</v>
      </c>
      <c r="G49" s="28">
        <v>1</v>
      </c>
      <c r="H49" s="10">
        <f>C49</f>
        <v>0.2</v>
      </c>
      <c r="I49" s="10">
        <f>G49*H49</f>
        <v>0.2</v>
      </c>
      <c r="J49" s="13"/>
      <c r="K49" s="7"/>
      <c r="L49" s="13"/>
      <c r="M49" s="15"/>
      <c r="N49" s="74"/>
    </row>
    <row r="50" spans="1:14" ht="15.5" x14ac:dyDescent="0.35">
      <c r="A50" s="7" t="s">
        <v>180</v>
      </c>
      <c r="B50" s="28">
        <v>20</v>
      </c>
      <c r="C50" s="10" t="e" cm="1">
        <f t="array" aca="1" ref="C50" ca="1">_xlfn.ANCHORARRAY(C37)</f>
        <v>#NAME?</v>
      </c>
      <c r="D50" s="10" t="e">
        <f ca="1">C50/B50</f>
        <v>#NAME?</v>
      </c>
      <c r="E50" s="13"/>
      <c r="F50" s="7" t="s">
        <v>180</v>
      </c>
      <c r="G50" s="28">
        <v>20</v>
      </c>
      <c r="H50" s="10">
        <v>18</v>
      </c>
      <c r="I50" s="10">
        <f>H50/G50</f>
        <v>0.9</v>
      </c>
      <c r="J50" s="13"/>
      <c r="K50" s="7"/>
      <c r="L50" s="13"/>
      <c r="M50" s="15"/>
      <c r="N50" s="15"/>
    </row>
    <row r="51" spans="1:14" ht="15.5" x14ac:dyDescent="0.35">
      <c r="A51" s="7"/>
      <c r="B51" s="28"/>
      <c r="C51" s="10"/>
      <c r="D51" s="10"/>
      <c r="E51" s="13"/>
      <c r="F51" s="7" t="s">
        <v>67</v>
      </c>
      <c r="G51" s="28">
        <v>6</v>
      </c>
      <c r="H51" s="10">
        <f>'Steak Pie v2'!H64</f>
        <v>0.01</v>
      </c>
      <c r="I51" s="10">
        <f>G51*H51</f>
        <v>0.06</v>
      </c>
      <c r="J51" s="13"/>
      <c r="K51" s="7"/>
      <c r="L51" s="13"/>
      <c r="M51" s="15"/>
      <c r="N51" s="15"/>
    </row>
    <row r="52" spans="1:14" ht="15.5" x14ac:dyDescent="0.35">
      <c r="A52" s="7"/>
      <c r="B52" s="28"/>
      <c r="C52" s="10"/>
      <c r="D52" s="10"/>
      <c r="E52" s="13"/>
      <c r="F52" s="7" t="s">
        <v>184</v>
      </c>
      <c r="G52" s="28">
        <v>6</v>
      </c>
      <c r="H52" s="10">
        <v>0.01</v>
      </c>
      <c r="I52" s="10">
        <f>G52*H52</f>
        <v>0.06</v>
      </c>
      <c r="J52" s="13"/>
      <c r="K52" s="7"/>
      <c r="L52" s="13"/>
      <c r="M52" s="15"/>
      <c r="N52" s="15"/>
    </row>
    <row r="53" spans="1:14" ht="15.5" x14ac:dyDescent="0.35">
      <c r="A53" s="7"/>
      <c r="B53" s="12"/>
      <c r="C53" s="10"/>
      <c r="D53" s="10"/>
      <c r="E53" s="13"/>
      <c r="F53" s="7"/>
      <c r="G53" s="12"/>
      <c r="H53" s="10"/>
      <c r="I53" s="10"/>
      <c r="J53" s="13"/>
      <c r="K53" s="7"/>
      <c r="L53" s="13"/>
      <c r="M53" s="15"/>
      <c r="N53" s="15"/>
    </row>
    <row r="54" spans="1:14" ht="13" x14ac:dyDescent="0.3">
      <c r="A54" s="13"/>
      <c r="B54" s="13"/>
      <c r="C54" s="15"/>
      <c r="D54" s="14"/>
      <c r="E54" s="13"/>
      <c r="F54" s="13"/>
      <c r="G54" s="13"/>
      <c r="H54" s="15"/>
      <c r="I54" s="14"/>
      <c r="J54" s="13"/>
      <c r="K54" s="13"/>
      <c r="L54" s="13"/>
      <c r="M54" s="15"/>
      <c r="N54" s="15"/>
    </row>
    <row r="55" spans="1:14" ht="15.5" x14ac:dyDescent="0.35">
      <c r="A55" s="6" t="s">
        <v>0</v>
      </c>
      <c r="B55" s="13"/>
      <c r="C55" s="15"/>
      <c r="D55" s="19" t="e">
        <f ca="1">D46+D47+D48+D49+D50</f>
        <v>#NAME?</v>
      </c>
      <c r="E55" s="13"/>
      <c r="F55" s="6" t="s">
        <v>0</v>
      </c>
      <c r="G55" s="13"/>
      <c r="H55" s="15"/>
      <c r="I55" s="19" t="e">
        <f>I46+I47+I48+I49+I50+I51+I52</f>
        <v>#REF!</v>
      </c>
      <c r="J55" s="13"/>
      <c r="K55" s="7"/>
      <c r="L55" s="13"/>
      <c r="M55" s="15"/>
      <c r="N55" s="82"/>
    </row>
    <row r="56" spans="1:14" ht="15.5" x14ac:dyDescent="0.35">
      <c r="A56" s="7" t="s">
        <v>182</v>
      </c>
      <c r="D56" s="74" t="e">
        <f ca="1">D55/9</f>
        <v>#NAME?</v>
      </c>
      <c r="F56" s="7" t="s">
        <v>182</v>
      </c>
      <c r="I56" s="74" t="e">
        <f>I55/6</f>
        <v>#REF!</v>
      </c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DF7B-EBB0-4F6B-91C3-6A3693D3BE1E}">
  <sheetPr>
    <tabColor rgb="FF92D050"/>
  </sheetPr>
  <dimension ref="A1:Q84"/>
  <sheetViews>
    <sheetView showGridLines="0" topLeftCell="A66" workbookViewId="0">
      <selection activeCell="F66" sqref="F66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123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120</v>
      </c>
      <c r="B20" s="28">
        <v>3</v>
      </c>
      <c r="C20" s="10">
        <f>'Ingredient Cost'!$D$59</f>
        <v>8.5</v>
      </c>
      <c r="D20" s="156">
        <f>B20*C20</f>
        <v>25.5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121</v>
      </c>
      <c r="B21" s="28">
        <v>1.4</v>
      </c>
      <c r="C21" s="10">
        <v>0</v>
      </c>
      <c r="D21" s="156">
        <f>B21*C21</f>
        <v>0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178</v>
      </c>
      <c r="B22" s="28">
        <v>0.45</v>
      </c>
      <c r="C22" s="10">
        <f>'Ingredient Cost'!$D$21</f>
        <v>8.9</v>
      </c>
      <c r="D22" s="157">
        <f>B22*C22</f>
        <v>4.0049999999999999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79</v>
      </c>
      <c r="B23" s="28">
        <v>0.8</v>
      </c>
      <c r="C23" s="10">
        <f>'Ingredient Cost'!D29</f>
        <v>1.38</v>
      </c>
      <c r="D23" s="11">
        <f>B23*C23</f>
        <v>1.1039999999999999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6" t="s">
        <v>4</v>
      </c>
      <c r="B24" s="154">
        <f>SUM(B20:B23)</f>
        <v>5.65</v>
      </c>
      <c r="C24" s="155"/>
      <c r="D24" s="187">
        <f>SUM(D20:D23)</f>
        <v>30.608999999999998</v>
      </c>
      <c r="E24" s="158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453</v>
      </c>
      <c r="B26" s="13"/>
      <c r="C26" s="15"/>
      <c r="D26" s="74">
        <f>D24/B24</f>
        <v>5.4175221238938045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7" t="s">
        <v>199</v>
      </c>
      <c r="B32" s="28">
        <v>0.129</v>
      </c>
      <c r="C32" s="10">
        <f>$D$26</f>
        <v>5.4175221238938045</v>
      </c>
      <c r="D32" s="156">
        <f>B32*C32</f>
        <v>0.69886035398230084</v>
      </c>
      <c r="E32" s="158"/>
      <c r="F32" s="7" t="s">
        <v>199</v>
      </c>
      <c r="G32" s="28">
        <v>0.25700000000000001</v>
      </c>
      <c r="H32" s="10">
        <f>$D$26</f>
        <v>5.4175221238938045</v>
      </c>
      <c r="I32" s="156">
        <f>G32*H32</f>
        <v>1.3923031858407078</v>
      </c>
      <c r="J32" s="158"/>
      <c r="K32" s="7" t="s">
        <v>199</v>
      </c>
      <c r="L32" s="28">
        <v>0.74</v>
      </c>
      <c r="M32" s="10">
        <f>$D$26</f>
        <v>5.4175221238938045</v>
      </c>
      <c r="N32" s="11">
        <f>L32*M32</f>
        <v>4.0089663716814155</v>
      </c>
    </row>
    <row r="33" spans="1:17" ht="15.5" x14ac:dyDescent="0.35">
      <c r="A33" s="7" t="s">
        <v>152</v>
      </c>
      <c r="B33" s="28">
        <v>1</v>
      </c>
      <c r="C33" s="10">
        <f>'Pastry Costing'!$F$30</f>
        <v>0.2107946902228468</v>
      </c>
      <c r="D33" s="156">
        <f>C33</f>
        <v>0.2107946902228468</v>
      </c>
      <c r="E33" s="158"/>
      <c r="F33" s="171" t="s">
        <v>152</v>
      </c>
      <c r="G33" s="170">
        <v>1</v>
      </c>
      <c r="H33" s="10">
        <f>'Pastry Costing'!$F$31</f>
        <v>0.34141430034129694</v>
      </c>
      <c r="I33" s="156">
        <f>H33</f>
        <v>0.34141430034129694</v>
      </c>
      <c r="J33" s="158"/>
      <c r="K33" s="171" t="s">
        <v>152</v>
      </c>
      <c r="L33" s="170">
        <v>1</v>
      </c>
      <c r="M33" s="10">
        <f>'Pastry Costing'!$F$32</f>
        <v>0.52407440273037542</v>
      </c>
      <c r="N33" s="11">
        <f>M33</f>
        <v>0.52407440273037542</v>
      </c>
    </row>
    <row r="34" spans="1:17" ht="15.5" x14ac:dyDescent="0.35">
      <c r="A34" s="7" t="s">
        <v>115</v>
      </c>
      <c r="B34" s="28">
        <v>1</v>
      </c>
      <c r="C34" s="10">
        <f>'Ingredient Cost'!$D$11</f>
        <v>0.02</v>
      </c>
      <c r="D34" s="157">
        <f>B34*C34</f>
        <v>0.02</v>
      </c>
      <c r="E34" s="158"/>
      <c r="F34" s="7" t="s">
        <v>115</v>
      </c>
      <c r="G34" s="28">
        <v>1</v>
      </c>
      <c r="H34" s="10">
        <f>'Ingredient Cost'!$D$11</f>
        <v>0.02</v>
      </c>
      <c r="I34" s="157">
        <f>H34</f>
        <v>0.02</v>
      </c>
      <c r="J34" s="158"/>
      <c r="K34" s="7" t="s">
        <v>115</v>
      </c>
      <c r="L34" s="28">
        <v>1</v>
      </c>
      <c r="M34" s="10">
        <f>'Ingredient Cost'!$D$11</f>
        <v>0.02</v>
      </c>
      <c r="N34" s="10">
        <f>L34*M34</f>
        <v>0.02</v>
      </c>
    </row>
    <row r="35" spans="1:17" ht="15.5" x14ac:dyDescent="0.35">
      <c r="A35" s="7" t="s">
        <v>0</v>
      </c>
      <c r="B35" s="13"/>
      <c r="C35" s="15"/>
      <c r="D35" s="74">
        <f>SUM(D32:D34)</f>
        <v>0.92965504420514766</v>
      </c>
      <c r="E35" s="13"/>
      <c r="F35" s="7" t="s">
        <v>0</v>
      </c>
      <c r="G35" s="13"/>
      <c r="H35" s="15"/>
      <c r="I35" s="74">
        <f>SUM(I32:I34)</f>
        <v>1.7537174861820048</v>
      </c>
      <c r="J35" s="13"/>
      <c r="K35" s="7" t="s">
        <v>0</v>
      </c>
      <c r="L35" s="13"/>
      <c r="M35" s="15"/>
      <c r="N35" s="74">
        <f>SUM(N32:N34)</f>
        <v>4.5530407744117909</v>
      </c>
    </row>
    <row r="36" spans="1:17" ht="15.5" x14ac:dyDescent="0.35">
      <c r="A36" s="7"/>
      <c r="B36" s="13"/>
      <c r="C36" s="15"/>
      <c r="D36" s="74"/>
      <c r="E36" s="13"/>
      <c r="F36" s="7"/>
      <c r="G36" s="13"/>
      <c r="H36" s="15"/>
      <c r="I36" s="74"/>
      <c r="J36" s="13"/>
      <c r="K36" s="7"/>
      <c r="L36" s="13"/>
      <c r="M36" s="15"/>
      <c r="N36" s="74"/>
    </row>
    <row r="37" spans="1:17" ht="15.5" x14ac:dyDescent="0.35">
      <c r="A37" s="164" t="s">
        <v>460</v>
      </c>
      <c r="B37" s="166"/>
      <c r="C37" s="167"/>
      <c r="D37" s="188"/>
      <c r="E37" s="166"/>
      <c r="F37" s="164"/>
      <c r="G37" s="166"/>
      <c r="H37" s="167"/>
      <c r="I37" s="188"/>
      <c r="J37" s="166"/>
      <c r="K37" s="164"/>
      <c r="L37" s="166"/>
      <c r="M37" s="167"/>
      <c r="N37" s="188"/>
    </row>
    <row r="38" spans="1:17" ht="15.5" x14ac:dyDescent="0.35">
      <c r="A38" s="7"/>
      <c r="B38" s="13"/>
      <c r="C38" s="15"/>
      <c r="D38" s="74"/>
      <c r="E38" s="13"/>
      <c r="F38" s="7"/>
      <c r="G38" s="13"/>
      <c r="H38" s="15"/>
      <c r="I38" s="74"/>
      <c r="J38" s="13"/>
      <c r="K38" s="7"/>
      <c r="L38" s="13"/>
      <c r="M38" s="15"/>
      <c r="N38" s="74"/>
    </row>
    <row r="39" spans="1:17" ht="15.5" x14ac:dyDescent="0.35">
      <c r="A39" s="159" t="s">
        <v>459</v>
      </c>
      <c r="B39" s="160"/>
      <c r="C39" s="161"/>
      <c r="D39" s="162"/>
      <c r="F39" s="159" t="s">
        <v>42</v>
      </c>
      <c r="G39" s="159"/>
      <c r="H39" s="161"/>
      <c r="I39" s="162"/>
      <c r="K39" s="159" t="s">
        <v>43</v>
      </c>
      <c r="L39" s="160"/>
      <c r="M39" s="161"/>
      <c r="N39" s="162"/>
    </row>
    <row r="40" spans="1:17" ht="15.5" x14ac:dyDescent="0.35">
      <c r="A40" s="6"/>
      <c r="B40" s="7" t="s">
        <v>1</v>
      </c>
      <c r="C40" s="8" t="s">
        <v>2</v>
      </c>
      <c r="D40" s="8" t="s">
        <v>4</v>
      </c>
      <c r="E40" s="13"/>
      <c r="F40" s="7"/>
      <c r="G40" s="7" t="s">
        <v>1</v>
      </c>
      <c r="H40" s="8" t="s">
        <v>2</v>
      </c>
      <c r="I40" s="8" t="s">
        <v>4</v>
      </c>
      <c r="J40" s="13"/>
      <c r="K40" s="7"/>
      <c r="L40" s="7" t="s">
        <v>1</v>
      </c>
      <c r="M40" s="8" t="s">
        <v>2</v>
      </c>
      <c r="N40" s="8" t="s">
        <v>4</v>
      </c>
    </row>
    <row r="41" spans="1:17" ht="15.5" x14ac:dyDescent="0.35">
      <c r="A41" s="171" t="s">
        <v>449</v>
      </c>
      <c r="B41" s="170">
        <v>1</v>
      </c>
      <c r="C41" s="10">
        <f>$D$35</f>
        <v>0.92965504420514766</v>
      </c>
      <c r="D41" s="156">
        <f>B41*C41</f>
        <v>0.92965504420514766</v>
      </c>
      <c r="E41" s="158"/>
      <c r="F41" s="171" t="s">
        <v>449</v>
      </c>
      <c r="G41" s="170">
        <v>1</v>
      </c>
      <c r="H41" s="10">
        <f>$I$35</f>
        <v>1.7537174861820048</v>
      </c>
      <c r="I41" s="156">
        <f>G41*H41</f>
        <v>1.7537174861820048</v>
      </c>
      <c r="J41" s="158"/>
      <c r="K41" s="171" t="s">
        <v>449</v>
      </c>
      <c r="L41" s="170">
        <v>1</v>
      </c>
      <c r="M41" s="10">
        <f>$N$35</f>
        <v>4.5530407744117909</v>
      </c>
      <c r="N41" s="11">
        <f>L41*M41</f>
        <v>4.5530407744117909</v>
      </c>
    </row>
    <row r="42" spans="1:17" ht="15.5" x14ac:dyDescent="0.35">
      <c r="A42" s="7" t="s">
        <v>106</v>
      </c>
      <c r="B42" s="28">
        <v>1</v>
      </c>
      <c r="C42" s="10">
        <f>'Ingredient Cost'!$D$95</f>
        <v>0.09</v>
      </c>
      <c r="D42" s="10">
        <f>B42*C42</f>
        <v>0.09</v>
      </c>
      <c r="E42" s="13"/>
      <c r="F42" s="7" t="s">
        <v>106</v>
      </c>
      <c r="G42" s="28">
        <v>1</v>
      </c>
      <c r="H42" s="10">
        <f>'Ingredient Cost'!$D$83</f>
        <v>7.0000000000000007E-2</v>
      </c>
      <c r="I42" s="157">
        <f>G42*H42</f>
        <v>7.0000000000000007E-2</v>
      </c>
      <c r="J42" s="158"/>
      <c r="K42" s="7" t="s">
        <v>106</v>
      </c>
      <c r="L42" s="28">
        <v>1</v>
      </c>
      <c r="M42" s="10">
        <f>'Ingredient Cost'!$D$83</f>
        <v>7.0000000000000007E-2</v>
      </c>
      <c r="N42" s="10">
        <f>L42*M42</f>
        <v>7.0000000000000007E-2</v>
      </c>
    </row>
    <row r="43" spans="1:17" ht="15.5" x14ac:dyDescent="0.35">
      <c r="A43" s="7" t="s">
        <v>139</v>
      </c>
      <c r="B43" s="28">
        <v>1</v>
      </c>
      <c r="C43" s="10">
        <f>'Ingredient Cost'!$D$89</f>
        <v>0.06</v>
      </c>
      <c r="D43" s="10">
        <f>B43*C43</f>
        <v>0.06</v>
      </c>
      <c r="E43" s="13"/>
      <c r="F43" s="7" t="s">
        <v>139</v>
      </c>
      <c r="G43" s="28">
        <v>1</v>
      </c>
      <c r="H43" s="10">
        <v>0.22</v>
      </c>
      <c r="I43" s="157">
        <f>H43*G43</f>
        <v>0.22</v>
      </c>
      <c r="J43" s="158"/>
      <c r="K43" s="7" t="s">
        <v>139</v>
      </c>
      <c r="L43" s="28">
        <v>1</v>
      </c>
      <c r="M43" s="10">
        <v>0.3</v>
      </c>
      <c r="N43" s="10">
        <v>0.3</v>
      </c>
    </row>
    <row r="44" spans="1:17" ht="15.5" x14ac:dyDescent="0.35">
      <c r="F44" s="7" t="s">
        <v>67</v>
      </c>
      <c r="G44" s="28">
        <v>1</v>
      </c>
      <c r="H44" s="10">
        <v>0.15</v>
      </c>
      <c r="I44" s="10">
        <v>0.15</v>
      </c>
      <c r="K44" s="7" t="s">
        <v>67</v>
      </c>
      <c r="L44" s="28">
        <v>1</v>
      </c>
      <c r="M44" s="10">
        <v>0.15</v>
      </c>
      <c r="N44" s="10">
        <v>0.15</v>
      </c>
    </row>
    <row r="45" spans="1:17" ht="15.5" x14ac:dyDescent="0.35">
      <c r="A45" s="6" t="s">
        <v>0</v>
      </c>
      <c r="B45" s="13"/>
      <c r="C45" s="15"/>
      <c r="D45" s="74">
        <f>SUM(D41:D43)</f>
        <v>1.0796550442051478</v>
      </c>
      <c r="E45" s="13"/>
      <c r="F45" s="7" t="s">
        <v>0</v>
      </c>
      <c r="G45" s="13"/>
      <c r="H45" s="15"/>
      <c r="I45" s="74">
        <f>SUM(I41:I44)</f>
        <v>2.1937174861820048</v>
      </c>
      <c r="J45" s="13"/>
      <c r="K45" s="7" t="s">
        <v>0</v>
      </c>
      <c r="L45" s="13"/>
      <c r="M45" s="15"/>
      <c r="N45" s="74">
        <f>SUM(N41:N44)</f>
        <v>5.0730407744117914</v>
      </c>
    </row>
    <row r="46" spans="1:17" ht="15.5" x14ac:dyDescent="0.35">
      <c r="A46" s="7"/>
      <c r="B46" s="13"/>
      <c r="C46" s="15"/>
      <c r="D46" s="74"/>
      <c r="E46" s="13"/>
      <c r="F46" s="7"/>
      <c r="G46" s="13"/>
      <c r="H46" s="15"/>
      <c r="I46" s="74"/>
      <c r="J46" s="13"/>
      <c r="K46" s="7"/>
      <c r="L46" s="13"/>
      <c r="M46" s="15"/>
      <c r="N46" s="74"/>
    </row>
    <row r="48" spans="1:17" ht="15.5" x14ac:dyDescent="0.35">
      <c r="A48" s="164" t="s">
        <v>461</v>
      </c>
      <c r="B48" s="165"/>
      <c r="C48" s="167"/>
      <c r="D48" s="189" t="s">
        <v>462</v>
      </c>
      <c r="E48" s="164" t="s">
        <v>456</v>
      </c>
      <c r="F48" s="164"/>
      <c r="G48" s="166"/>
      <c r="H48" s="167"/>
      <c r="I48" s="168"/>
      <c r="J48" s="166"/>
      <c r="K48" s="169"/>
      <c r="L48" s="169"/>
      <c r="M48" s="166"/>
      <c r="N48" s="166"/>
      <c r="O48" s="13"/>
      <c r="P48" s="13"/>
      <c r="Q48" s="13"/>
    </row>
    <row r="49" spans="1:17" ht="15.5" x14ac:dyDescent="0.35">
      <c r="A49" s="7"/>
      <c r="B49" s="13"/>
      <c r="C49" s="15"/>
      <c r="D49" s="20"/>
      <c r="E49" s="13"/>
      <c r="F49" s="22"/>
      <c r="G49" s="22"/>
      <c r="H49" s="22"/>
      <c r="I49" s="22"/>
      <c r="J49" s="22"/>
      <c r="K49" s="22"/>
      <c r="L49" s="22"/>
      <c r="M49" s="13"/>
      <c r="N49" s="13"/>
      <c r="O49" s="13"/>
      <c r="P49" s="13"/>
      <c r="Q49" s="13"/>
    </row>
    <row r="50" spans="1:17" ht="15.5" x14ac:dyDescent="0.35">
      <c r="A50" s="159" t="s">
        <v>166</v>
      </c>
      <c r="B50" s="160"/>
      <c r="C50" s="161"/>
      <c r="D50" s="162"/>
      <c r="F50" s="159" t="s">
        <v>42</v>
      </c>
      <c r="G50" s="159"/>
      <c r="H50" s="161"/>
      <c r="I50" s="162"/>
      <c r="K50" s="159" t="s">
        <v>43</v>
      </c>
      <c r="L50" s="160"/>
      <c r="M50" s="161"/>
      <c r="N50" s="162"/>
    </row>
    <row r="51" spans="1:17" ht="15.5" x14ac:dyDescent="0.35">
      <c r="A51" s="6"/>
      <c r="B51" s="7" t="s">
        <v>1</v>
      </c>
      <c r="C51" s="8" t="s">
        <v>2</v>
      </c>
      <c r="D51" s="8" t="s">
        <v>4</v>
      </c>
      <c r="E51" s="13"/>
      <c r="F51" s="7"/>
      <c r="G51" s="7" t="s">
        <v>1</v>
      </c>
      <c r="H51" s="8" t="s">
        <v>2</v>
      </c>
      <c r="I51" s="8" t="s">
        <v>4</v>
      </c>
      <c r="J51" s="13"/>
      <c r="K51" s="7"/>
      <c r="L51" s="7" t="s">
        <v>1</v>
      </c>
      <c r="M51" s="8" t="s">
        <v>2</v>
      </c>
      <c r="N51" s="8" t="s">
        <v>4</v>
      </c>
    </row>
    <row r="52" spans="1:17" ht="15.5" x14ac:dyDescent="0.35">
      <c r="A52" s="171" t="s">
        <v>463</v>
      </c>
      <c r="B52" s="170">
        <v>1</v>
      </c>
      <c r="C52" s="10">
        <f>$D$45</f>
        <v>1.0796550442051478</v>
      </c>
      <c r="D52" s="156">
        <f>B52*C52</f>
        <v>1.0796550442051478</v>
      </c>
      <c r="E52" s="158"/>
      <c r="F52" s="171" t="s">
        <v>463</v>
      </c>
      <c r="G52" s="170">
        <v>1</v>
      </c>
      <c r="H52" s="10">
        <f>$I$45</f>
        <v>2.1937174861820048</v>
      </c>
      <c r="I52" s="156">
        <f>G52*H52</f>
        <v>2.1937174861820048</v>
      </c>
      <c r="J52" s="158"/>
      <c r="K52" s="171" t="s">
        <v>463</v>
      </c>
      <c r="L52" s="170">
        <v>1</v>
      </c>
      <c r="M52" s="10">
        <f>$N$45</f>
        <v>5.0730407744117914</v>
      </c>
      <c r="N52" s="11">
        <f>L52*M52</f>
        <v>5.0730407744117914</v>
      </c>
    </row>
    <row r="53" spans="1:17" ht="15.5" x14ac:dyDescent="0.35">
      <c r="A53" s="7" t="s">
        <v>180</v>
      </c>
      <c r="B53" s="28">
        <v>60</v>
      </c>
      <c r="C53" s="10">
        <f>'Ingredient Cost'!$B$113</f>
        <v>20</v>
      </c>
      <c r="D53" s="10">
        <f>C53/B53</f>
        <v>0.33333333333333331</v>
      </c>
      <c r="E53" s="13"/>
      <c r="F53" s="7" t="s">
        <v>140</v>
      </c>
      <c r="G53" s="28">
        <v>48</v>
      </c>
      <c r="H53" s="10">
        <f>'Ingredient Cost'!$B$113</f>
        <v>20</v>
      </c>
      <c r="I53" s="157">
        <f>H53/G53</f>
        <v>0.41666666666666669</v>
      </c>
      <c r="J53" s="158"/>
      <c r="K53" s="7" t="s">
        <v>140</v>
      </c>
      <c r="L53" s="28">
        <v>50</v>
      </c>
      <c r="M53" s="10">
        <f>'Ingredient Cost'!$B$113</f>
        <v>20</v>
      </c>
      <c r="N53" s="10">
        <f>M53/L53</f>
        <v>0.4</v>
      </c>
    </row>
    <row r="54" spans="1:17" ht="15.5" x14ac:dyDescent="0.35">
      <c r="A54" s="6" t="s">
        <v>0</v>
      </c>
      <c r="B54" s="13"/>
      <c r="C54" s="15"/>
      <c r="D54" s="74">
        <f>SUM(D52:D53)</f>
        <v>1.4129883775384811</v>
      </c>
      <c r="E54" s="13"/>
      <c r="F54" s="7" t="s">
        <v>0</v>
      </c>
      <c r="G54" s="13"/>
      <c r="H54" s="15"/>
      <c r="I54" s="74">
        <f>SUM(I52:I53)</f>
        <v>2.6103841528486713</v>
      </c>
      <c r="J54" s="13"/>
      <c r="K54" s="7" t="s">
        <v>0</v>
      </c>
      <c r="L54" s="13"/>
      <c r="M54" s="15"/>
      <c r="N54" s="74">
        <f>SUM(N52:N53)</f>
        <v>5.4730407744117917</v>
      </c>
    </row>
    <row r="55" spans="1:17" ht="15.5" x14ac:dyDescent="0.35">
      <c r="A55" s="7"/>
      <c r="B55" s="13"/>
      <c r="C55" s="15"/>
      <c r="D55" s="74"/>
      <c r="E55" s="13"/>
      <c r="F55" s="7"/>
      <c r="G55" s="13"/>
      <c r="H55" s="15"/>
      <c r="I55" s="74"/>
      <c r="J55" s="13"/>
      <c r="K55" s="7"/>
      <c r="L55" s="13"/>
      <c r="M55" s="15"/>
      <c r="N55" s="74"/>
    </row>
    <row r="56" spans="1:17" ht="15.5" x14ac:dyDescent="0.35">
      <c r="A56" s="7"/>
      <c r="B56" s="74" t="s">
        <v>467</v>
      </c>
      <c r="C56" s="163"/>
      <c r="D56" s="191">
        <f>D$53/D$52</f>
        <v>0.30874058813733091</v>
      </c>
      <c r="E56" s="13"/>
      <c r="F56" s="7"/>
      <c r="G56" s="74" t="s">
        <v>467</v>
      </c>
      <c r="H56" s="74"/>
      <c r="I56" s="191">
        <f>I$53/I$52</f>
        <v>0.18993633833490689</v>
      </c>
      <c r="J56" s="13"/>
      <c r="K56" s="7"/>
      <c r="L56" s="74" t="s">
        <v>467</v>
      </c>
      <c r="M56" s="163"/>
      <c r="N56" s="191">
        <f>N$53/N$52</f>
        <v>7.8848173666883098E-2</v>
      </c>
    </row>
    <row r="57" spans="1:17" ht="15.5" x14ac:dyDescent="0.35">
      <c r="A57" s="164" t="s">
        <v>448</v>
      </c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</row>
    <row r="59" spans="1:17" ht="15.5" x14ac:dyDescent="0.35">
      <c r="A59" s="190" t="s">
        <v>466</v>
      </c>
      <c r="B59" s="159"/>
      <c r="C59" s="161"/>
      <c r="D59" s="162"/>
      <c r="F59" s="190" t="s">
        <v>465</v>
      </c>
      <c r="G59" s="159"/>
      <c r="H59" s="161"/>
      <c r="I59" s="162"/>
      <c r="K59" s="7"/>
      <c r="L59" s="47"/>
      <c r="M59" s="48"/>
      <c r="N59" s="49"/>
    </row>
    <row r="60" spans="1:17" ht="15.5" x14ac:dyDescent="0.35">
      <c r="A60" s="7"/>
      <c r="B60" s="7" t="s">
        <v>1</v>
      </c>
      <c r="C60" s="8" t="s">
        <v>2</v>
      </c>
      <c r="D60" s="8" t="s">
        <v>4</v>
      </c>
      <c r="E60" s="13"/>
      <c r="F60" s="7"/>
      <c r="G60" s="7" t="s">
        <v>1</v>
      </c>
      <c r="H60" s="8" t="s">
        <v>2</v>
      </c>
      <c r="I60" s="8" t="s">
        <v>4</v>
      </c>
      <c r="J60" s="13"/>
      <c r="K60" s="7"/>
      <c r="L60" s="7"/>
      <c r="M60" s="8"/>
      <c r="N60" s="8"/>
    </row>
    <row r="61" spans="1:17" ht="15.5" x14ac:dyDescent="0.35">
      <c r="A61" s="7" t="s">
        <v>454</v>
      </c>
      <c r="B61" s="28">
        <v>9</v>
      </c>
      <c r="C61" s="10">
        <f>D54</f>
        <v>1.4129883775384811</v>
      </c>
      <c r="D61" s="11">
        <f>B61*C61</f>
        <v>12.716895397846329</v>
      </c>
      <c r="E61" s="13"/>
      <c r="F61" s="7" t="s">
        <v>454</v>
      </c>
      <c r="G61" s="28">
        <v>4</v>
      </c>
      <c r="H61" s="10">
        <f>I54</f>
        <v>2.6103841528486713</v>
      </c>
      <c r="I61" s="11">
        <f>G61*H61</f>
        <v>10.441536611394685</v>
      </c>
      <c r="J61" s="13"/>
      <c r="K61" s="7"/>
      <c r="L61" s="13"/>
      <c r="M61" s="15"/>
      <c r="N61" s="74"/>
    </row>
    <row r="62" spans="1:17" ht="15.5" x14ac:dyDescent="0.35">
      <c r="A62" s="7" t="s">
        <v>464</v>
      </c>
      <c r="B62" s="28">
        <v>1</v>
      </c>
      <c r="C62" s="10">
        <f>'Ingredient Cost'!D108</f>
        <v>0.2</v>
      </c>
      <c r="D62" s="10">
        <f>B62*C62</f>
        <v>0.2</v>
      </c>
      <c r="E62" s="13"/>
      <c r="F62" s="7" t="s">
        <v>464</v>
      </c>
      <c r="G62" s="28">
        <v>1</v>
      </c>
      <c r="H62" s="10">
        <f>C62</f>
        <v>0.2</v>
      </c>
      <c r="I62" s="10">
        <f>G62*H62</f>
        <v>0.2</v>
      </c>
      <c r="J62" s="13"/>
      <c r="K62" s="7"/>
      <c r="L62" s="13"/>
      <c r="M62" s="15"/>
      <c r="N62" s="15"/>
    </row>
    <row r="63" spans="1:17" ht="15.5" x14ac:dyDescent="0.35">
      <c r="A63" s="7" t="s">
        <v>180</v>
      </c>
      <c r="B63" s="28">
        <v>180</v>
      </c>
      <c r="C63" s="10">
        <f>C53</f>
        <v>20</v>
      </c>
      <c r="D63" s="10">
        <f>C63/B63</f>
        <v>0.1111111111111111</v>
      </c>
      <c r="E63" s="13"/>
      <c r="F63" s="7" t="s">
        <v>180</v>
      </c>
      <c r="G63" s="28">
        <v>180</v>
      </c>
      <c r="H63" s="10">
        <f>C53</f>
        <v>20</v>
      </c>
      <c r="I63" s="10">
        <f>H63/G63</f>
        <v>0.1111111111111111</v>
      </c>
      <c r="J63" s="13"/>
      <c r="K63" s="7"/>
      <c r="L63" s="13"/>
      <c r="M63" s="15"/>
      <c r="N63" s="15"/>
    </row>
    <row r="64" spans="1:17" ht="15.5" x14ac:dyDescent="0.35">
      <c r="A64" s="7" t="s">
        <v>184</v>
      </c>
      <c r="B64" s="28">
        <v>1</v>
      </c>
      <c r="C64" s="10">
        <v>0.01</v>
      </c>
      <c r="D64" s="10">
        <f>B64*C64</f>
        <v>0.01</v>
      </c>
      <c r="E64" s="13"/>
      <c r="F64" s="7" t="s">
        <v>184</v>
      </c>
      <c r="G64" s="28">
        <v>1</v>
      </c>
      <c r="H64" s="10">
        <v>0.01</v>
      </c>
      <c r="I64" s="10">
        <f>G64*H64</f>
        <v>0.01</v>
      </c>
      <c r="J64" s="13"/>
      <c r="K64" s="7"/>
      <c r="L64" s="13"/>
      <c r="M64" s="15"/>
      <c r="N64" s="15"/>
    </row>
    <row r="65" spans="1:14" ht="15.5" x14ac:dyDescent="0.35">
      <c r="A65" s="7" t="s">
        <v>0</v>
      </c>
      <c r="B65" s="13"/>
      <c r="C65" s="15"/>
      <c r="D65" s="74">
        <f>SUM(D61:D64)</f>
        <v>13.038006508957439</v>
      </c>
      <c r="E65" s="13"/>
      <c r="F65" s="7" t="s">
        <v>0</v>
      </c>
      <c r="G65" s="13"/>
      <c r="H65" s="15"/>
      <c r="I65" s="74">
        <f>SUM(I61:I64)</f>
        <v>10.762647722505795</v>
      </c>
      <c r="J65" s="13"/>
      <c r="K65" s="7"/>
      <c r="L65" s="13"/>
      <c r="M65" s="15"/>
      <c r="N65" s="82"/>
    </row>
    <row r="66" spans="1:14" ht="15.5" x14ac:dyDescent="0.35">
      <c r="A66" s="7" t="s">
        <v>182</v>
      </c>
      <c r="D66" s="74">
        <f>D65/9</f>
        <v>1.44866738988416</v>
      </c>
      <c r="F66" s="7" t="s">
        <v>182</v>
      </c>
      <c r="I66" s="74">
        <f>I65/4</f>
        <v>2.6906619306264488</v>
      </c>
    </row>
    <row r="67" spans="1:14" ht="15.5" x14ac:dyDescent="0.35">
      <c r="A67" s="7"/>
      <c r="D67" s="74"/>
      <c r="F67" s="7"/>
      <c r="I67" s="74"/>
    </row>
    <row r="68" spans="1:14" ht="15.5" x14ac:dyDescent="0.35">
      <c r="A68" s="190" t="s">
        <v>475</v>
      </c>
      <c r="B68" s="159"/>
      <c r="C68" s="161"/>
      <c r="D68" s="162"/>
      <c r="F68" s="7"/>
      <c r="I68" s="74"/>
    </row>
    <row r="69" spans="1:14" ht="15.5" x14ac:dyDescent="0.35">
      <c r="A69" s="7"/>
      <c r="B69" s="7" t="s">
        <v>1</v>
      </c>
      <c r="C69" s="8" t="s">
        <v>2</v>
      </c>
      <c r="D69" s="8" t="s">
        <v>4</v>
      </c>
    </row>
    <row r="70" spans="1:14" ht="15.5" x14ac:dyDescent="0.35">
      <c r="A70" s="7" t="s">
        <v>454</v>
      </c>
      <c r="B70" s="28">
        <v>6</v>
      </c>
      <c r="C70" s="10">
        <f>D54</f>
        <v>1.4129883775384811</v>
      </c>
      <c r="D70" s="11">
        <f>B70*C70</f>
        <v>8.4779302652308868</v>
      </c>
    </row>
    <row r="71" spans="1:14" ht="15.5" x14ac:dyDescent="0.35">
      <c r="A71" s="7" t="s">
        <v>464</v>
      </c>
      <c r="B71" s="28">
        <v>1</v>
      </c>
      <c r="C71" s="10">
        <f>C62</f>
        <v>0.2</v>
      </c>
      <c r="D71" s="10">
        <f>B71*C71</f>
        <v>0.2</v>
      </c>
    </row>
    <row r="72" spans="1:14" ht="15.5" x14ac:dyDescent="0.35">
      <c r="A72" s="7" t="s">
        <v>180</v>
      </c>
      <c r="B72" s="28">
        <v>180</v>
      </c>
      <c r="C72" s="10">
        <v>20</v>
      </c>
      <c r="D72" s="10">
        <f>C72/B72</f>
        <v>0.1111111111111111</v>
      </c>
    </row>
    <row r="73" spans="1:14" ht="15.5" x14ac:dyDescent="0.35">
      <c r="A73" s="7" t="s">
        <v>184</v>
      </c>
      <c r="B73" s="28">
        <v>1</v>
      </c>
      <c r="C73" s="10">
        <v>0.01</v>
      </c>
      <c r="D73" s="10">
        <f>B73*C73</f>
        <v>0.01</v>
      </c>
    </row>
    <row r="74" spans="1:14" ht="15.5" x14ac:dyDescent="0.35">
      <c r="A74" s="7" t="s">
        <v>0</v>
      </c>
      <c r="B74" s="13"/>
      <c r="C74" s="15"/>
      <c r="D74" s="74">
        <f>SUM(D70:D73)</f>
        <v>8.7990413763419966</v>
      </c>
    </row>
    <row r="75" spans="1:14" ht="15.5" x14ac:dyDescent="0.35">
      <c r="A75" s="7" t="s">
        <v>182</v>
      </c>
      <c r="D75" s="74">
        <f>D74/6</f>
        <v>1.4665068960569994</v>
      </c>
    </row>
    <row r="77" spans="1:14" ht="15.5" x14ac:dyDescent="0.35">
      <c r="A77" s="190" t="s">
        <v>485</v>
      </c>
      <c r="B77" s="159"/>
      <c r="C77" s="161"/>
      <c r="D77" s="162"/>
    </row>
    <row r="78" spans="1:14" ht="15.5" x14ac:dyDescent="0.35">
      <c r="A78" s="7"/>
      <c r="B78" s="7" t="s">
        <v>1</v>
      </c>
      <c r="C78" s="8" t="s">
        <v>2</v>
      </c>
      <c r="D78" s="8" t="s">
        <v>4</v>
      </c>
    </row>
    <row r="79" spans="1:14" ht="15.5" x14ac:dyDescent="0.35">
      <c r="A79" s="7" t="s">
        <v>454</v>
      </c>
      <c r="B79" s="28">
        <v>12</v>
      </c>
      <c r="C79" s="10">
        <f>D54</f>
        <v>1.4129883775384811</v>
      </c>
      <c r="D79" s="11">
        <f>B79*C79</f>
        <v>16.955860530461774</v>
      </c>
    </row>
    <row r="80" spans="1:14" ht="15.5" x14ac:dyDescent="0.35">
      <c r="A80" s="7" t="s">
        <v>464</v>
      </c>
      <c r="B80" s="28">
        <v>1</v>
      </c>
      <c r="C80" s="10">
        <f>C62</f>
        <v>0.2</v>
      </c>
      <c r="D80" s="10">
        <f>B80*C80</f>
        <v>0.2</v>
      </c>
    </row>
    <row r="81" spans="1:4" ht="15.5" x14ac:dyDescent="0.35">
      <c r="A81" s="7" t="s">
        <v>180</v>
      </c>
      <c r="B81" s="28">
        <v>180</v>
      </c>
      <c r="C81" s="10">
        <v>20</v>
      </c>
      <c r="D81" s="10">
        <f>C81/B81</f>
        <v>0.1111111111111111</v>
      </c>
    </row>
    <row r="82" spans="1:4" ht="15.5" x14ac:dyDescent="0.35">
      <c r="A82" s="7" t="s">
        <v>184</v>
      </c>
      <c r="B82" s="28">
        <v>1</v>
      </c>
      <c r="C82" s="10">
        <v>0.01</v>
      </c>
      <c r="D82" s="10">
        <f>B82*C82</f>
        <v>0.01</v>
      </c>
    </row>
    <row r="83" spans="1:4" ht="15.5" x14ac:dyDescent="0.35">
      <c r="A83" s="7" t="s">
        <v>0</v>
      </c>
      <c r="B83" s="13"/>
      <c r="C83" s="15"/>
      <c r="D83" s="74">
        <f>SUM(D79:D82)</f>
        <v>17.276971641572885</v>
      </c>
    </row>
    <row r="84" spans="1:4" ht="15.5" x14ac:dyDescent="0.35">
      <c r="A84" s="7" t="s">
        <v>182</v>
      </c>
      <c r="D84" s="74">
        <f>D83/12</f>
        <v>1.4397476367977404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54"/>
  <sheetViews>
    <sheetView topLeftCell="A19" workbookViewId="0">
      <selection activeCell="I52" sqref="I52"/>
    </sheetView>
  </sheetViews>
  <sheetFormatPr defaultRowHeight="12.5" x14ac:dyDescent="0.25"/>
  <cols>
    <col min="1" max="1" width="26.54296875" customWidth="1"/>
    <col min="3" max="3" width="10.1796875" customWidth="1"/>
    <col min="4" max="4" width="12.54296875" customWidth="1"/>
    <col min="5" max="5" width="11.453125" customWidth="1"/>
    <col min="6" max="6" width="26.81640625" customWidth="1"/>
    <col min="11" max="11" width="25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126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127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120</v>
      </c>
      <c r="B18" s="28">
        <v>3</v>
      </c>
      <c r="C18" s="10">
        <f>'Ingredient Cost'!D59</f>
        <v>8.5</v>
      </c>
      <c r="D18" s="11">
        <f>B18*C18</f>
        <v>25.5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186</v>
      </c>
      <c r="B19" s="28">
        <v>2.2000000000000002</v>
      </c>
      <c r="C19" s="10">
        <v>0</v>
      </c>
      <c r="D19" s="11">
        <f>B19*C19</f>
        <v>0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122</v>
      </c>
      <c r="B20" s="28">
        <v>0.45</v>
      </c>
      <c r="C20" s="10">
        <f>'Ingredient Cost'!D21</f>
        <v>8.9</v>
      </c>
      <c r="D20" s="10">
        <f>B20*C20</f>
        <v>4.0049999999999999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128</v>
      </c>
      <c r="B21" s="28">
        <v>1</v>
      </c>
      <c r="C21" s="10">
        <f>'Ingredient Cost'!D61</f>
        <v>4</v>
      </c>
      <c r="D21" s="10">
        <f>B21*C21</f>
        <v>4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/>
      <c r="B22" s="12"/>
      <c r="C22" s="10"/>
      <c r="D22" s="10"/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/>
      <c r="B23" s="12">
        <f>SUM(B18:B21)</f>
        <v>6.65</v>
      </c>
      <c r="C23" s="10"/>
      <c r="D23" s="10">
        <f>SUM(D18:D21)</f>
        <v>33.504999999999995</v>
      </c>
      <c r="E23" s="13"/>
      <c r="F23" s="6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3" x14ac:dyDescent="0.3">
      <c r="A24" s="13"/>
      <c r="B24" s="13"/>
      <c r="C24" s="15"/>
      <c r="D24" s="14"/>
      <c r="E24" s="13"/>
      <c r="F24" s="13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 t="s">
        <v>0</v>
      </c>
      <c r="B25" s="13"/>
      <c r="C25" s="15"/>
      <c r="D25" s="19">
        <f>D23/B23</f>
        <v>5.038345864661653</v>
      </c>
      <c r="E25" s="13"/>
      <c r="F25" s="6"/>
      <c r="G25" s="13"/>
      <c r="H25" s="15"/>
      <c r="I25" s="20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7"/>
      <c r="B26" s="13"/>
      <c r="C26" s="15"/>
      <c r="D26" s="20"/>
      <c r="E26" s="13"/>
      <c r="F26" s="21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47"/>
      <c r="C27" s="48"/>
      <c r="D27" s="49"/>
      <c r="F27" s="7"/>
      <c r="G27" s="47"/>
      <c r="H27" s="48"/>
      <c r="I27" s="49"/>
      <c r="K27" s="7"/>
      <c r="L27" s="47"/>
      <c r="M27" s="48"/>
      <c r="N27" s="49"/>
    </row>
    <row r="28" spans="1:17" ht="15.5" x14ac:dyDescent="0.35">
      <c r="A28" s="7" t="s">
        <v>3</v>
      </c>
      <c r="B28" s="47" t="s">
        <v>134</v>
      </c>
      <c r="C28" s="48"/>
      <c r="D28" s="49"/>
      <c r="F28" s="7" t="s">
        <v>3</v>
      </c>
      <c r="G28" s="47" t="s">
        <v>135</v>
      </c>
      <c r="H28" s="48"/>
      <c r="I28" s="49"/>
      <c r="K28" s="7" t="s">
        <v>3</v>
      </c>
      <c r="L28" s="47" t="s">
        <v>136</v>
      </c>
      <c r="M28" s="48"/>
      <c r="N28" s="49"/>
    </row>
    <row r="29" spans="1:17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6"/>
      <c r="G29" s="7" t="s">
        <v>1</v>
      </c>
      <c r="H29" s="8" t="s">
        <v>2</v>
      </c>
      <c r="I29" s="9" t="s">
        <v>4</v>
      </c>
      <c r="J29" s="13"/>
      <c r="K29" s="6"/>
      <c r="L29" s="7" t="s">
        <v>1</v>
      </c>
      <c r="M29" s="8" t="s">
        <v>2</v>
      </c>
      <c r="N29" s="9" t="s">
        <v>4</v>
      </c>
    </row>
    <row r="30" spans="1:17" ht="15.5" x14ac:dyDescent="0.35">
      <c r="A30" s="6" t="s">
        <v>127</v>
      </c>
      <c r="B30" s="28">
        <v>0.129</v>
      </c>
      <c r="C30" s="10">
        <f>D25</f>
        <v>5.038345864661653</v>
      </c>
      <c r="D30" s="11">
        <f>B30*C30</f>
        <v>0.64994661654135322</v>
      </c>
      <c r="E30" s="13"/>
      <c r="F30" s="6" t="s">
        <v>127</v>
      </c>
      <c r="G30" s="28">
        <v>0.25700000000000001</v>
      </c>
      <c r="H30" s="10">
        <f>C30</f>
        <v>5.038345864661653</v>
      </c>
      <c r="I30" s="11">
        <f>G30*H30</f>
        <v>1.2948548872180448</v>
      </c>
      <c r="J30" s="13"/>
      <c r="K30" s="6" t="s">
        <v>127</v>
      </c>
      <c r="L30" s="28">
        <v>0.74</v>
      </c>
      <c r="M30" s="10">
        <f>C30</f>
        <v>5.038345864661653</v>
      </c>
      <c r="N30" s="11">
        <f>L30*M30</f>
        <v>3.7283759398496232</v>
      </c>
    </row>
    <row r="31" spans="1:17" ht="15.5" x14ac:dyDescent="0.35">
      <c r="A31" s="6" t="s">
        <v>151</v>
      </c>
      <c r="B31" s="28"/>
      <c r="C31" s="10">
        <f>'Pastry Costing'!F30</f>
        <v>0.2107946902228468</v>
      </c>
      <c r="D31" s="11">
        <f>C31</f>
        <v>0.2107946902228468</v>
      </c>
      <c r="E31" s="13"/>
      <c r="F31" s="6" t="s">
        <v>151</v>
      </c>
      <c r="G31" s="28"/>
      <c r="H31" s="10">
        <f>'Pastry Costing'!F31</f>
        <v>0.34141430034129694</v>
      </c>
      <c r="I31" s="11">
        <f>H31</f>
        <v>0.34141430034129694</v>
      </c>
      <c r="J31" s="13"/>
      <c r="K31" s="6" t="s">
        <v>151</v>
      </c>
      <c r="L31" s="28"/>
      <c r="M31" s="10">
        <f>'Pastry Costing'!F32</f>
        <v>0.52407440273037542</v>
      </c>
      <c r="N31" s="11">
        <f>M31</f>
        <v>0.52407440273037542</v>
      </c>
    </row>
    <row r="32" spans="1:17" ht="15.5" x14ac:dyDescent="0.35">
      <c r="A32" s="6" t="s">
        <v>115</v>
      </c>
      <c r="B32" s="28"/>
      <c r="C32" s="10">
        <f>'Ingredient Cost'!C38</f>
        <v>0</v>
      </c>
      <c r="D32" s="10">
        <f>B32*C32</f>
        <v>0</v>
      </c>
      <c r="E32" s="13"/>
      <c r="F32" s="6" t="s">
        <v>115</v>
      </c>
      <c r="G32" s="28"/>
      <c r="H32" s="10">
        <f>C32</f>
        <v>0</v>
      </c>
      <c r="I32" s="10">
        <f>H32</f>
        <v>0</v>
      </c>
      <c r="J32" s="13"/>
      <c r="K32" s="6" t="s">
        <v>115</v>
      </c>
      <c r="L32" s="28"/>
      <c r="M32" s="10">
        <f>'Ingredient Cost'!M38</f>
        <v>0</v>
      </c>
      <c r="N32" s="10">
        <f>L32*M32</f>
        <v>0</v>
      </c>
    </row>
    <row r="33" spans="1:14" ht="15.5" x14ac:dyDescent="0.35">
      <c r="A33" s="7" t="s">
        <v>106</v>
      </c>
      <c r="B33" s="28">
        <v>1</v>
      </c>
      <c r="C33" s="10">
        <f>'Ingredient Cost'!D95</f>
        <v>0.09</v>
      </c>
      <c r="D33" s="10">
        <f>B33*C33</f>
        <v>0.09</v>
      </c>
      <c r="E33" s="13"/>
      <c r="F33" s="7" t="s">
        <v>106</v>
      </c>
      <c r="G33" s="28">
        <v>1</v>
      </c>
      <c r="H33" s="10">
        <f>'Ingredient Cost'!D96</f>
        <v>0.12</v>
      </c>
      <c r="I33" s="10">
        <f>G33*H33</f>
        <v>0.12</v>
      </c>
      <c r="J33" s="13"/>
      <c r="K33" s="7" t="s">
        <v>106</v>
      </c>
      <c r="L33" s="28">
        <v>1</v>
      </c>
      <c r="M33" s="10">
        <f>'Ingredient Cost'!D97</f>
        <v>0.2</v>
      </c>
      <c r="N33" s="10">
        <f>L33*M33</f>
        <v>0.2</v>
      </c>
    </row>
    <row r="34" spans="1:14" ht="15.5" x14ac:dyDescent="0.35">
      <c r="A34" s="7" t="s">
        <v>180</v>
      </c>
      <c r="B34" s="28">
        <v>90</v>
      </c>
      <c r="C34" s="10">
        <f>'Steak Pie v2'!C53</f>
        <v>20</v>
      </c>
      <c r="D34" s="10">
        <f>C34/B34</f>
        <v>0.22222222222222221</v>
      </c>
      <c r="E34" s="13"/>
      <c r="F34" s="7" t="s">
        <v>140</v>
      </c>
      <c r="G34" s="28">
        <v>48</v>
      </c>
      <c r="H34" s="10">
        <f>C34</f>
        <v>20</v>
      </c>
      <c r="I34" s="10">
        <f>H34/G34</f>
        <v>0.41666666666666669</v>
      </c>
      <c r="J34" s="13"/>
      <c r="K34" s="7" t="s">
        <v>140</v>
      </c>
      <c r="L34" s="28">
        <v>32</v>
      </c>
      <c r="M34" s="10">
        <f>C34</f>
        <v>20</v>
      </c>
      <c r="N34" s="10">
        <f>M34/L34</f>
        <v>0.625</v>
      </c>
    </row>
    <row r="35" spans="1:14" ht="15.5" x14ac:dyDescent="0.35">
      <c r="A35" s="7"/>
      <c r="B35" s="12"/>
      <c r="C35" s="10"/>
      <c r="D35" s="10"/>
      <c r="E35" s="13"/>
      <c r="F35" s="7"/>
      <c r="G35" s="12"/>
      <c r="H35" s="10"/>
      <c r="I35" s="10"/>
      <c r="J35" s="13"/>
      <c r="K35" s="7"/>
      <c r="L35" s="12"/>
      <c r="M35" s="10"/>
      <c r="N35" s="10"/>
    </row>
    <row r="36" spans="1:14" ht="13" x14ac:dyDescent="0.3">
      <c r="A36" s="13"/>
      <c r="B36" s="13"/>
      <c r="C36" s="15"/>
      <c r="D36" s="14"/>
      <c r="E36" s="13"/>
      <c r="F36" s="13"/>
      <c r="G36" s="13"/>
      <c r="H36" s="15"/>
      <c r="I36" s="14"/>
      <c r="J36" s="13"/>
      <c r="K36" s="13"/>
      <c r="L36" s="13"/>
      <c r="M36" s="15"/>
      <c r="N36" s="14"/>
    </row>
    <row r="37" spans="1:14" ht="15.5" x14ac:dyDescent="0.35">
      <c r="A37" s="6" t="s">
        <v>0</v>
      </c>
      <c r="B37" s="13"/>
      <c r="C37" s="15"/>
      <c r="D37" s="19">
        <f>D30+D31+D32+D33+D34</f>
        <v>1.1729635289864222</v>
      </c>
      <c r="E37" s="13"/>
      <c r="F37" s="6" t="s">
        <v>0</v>
      </c>
      <c r="G37" s="13"/>
      <c r="H37" s="15"/>
      <c r="I37" s="19">
        <f>I30+I31+I32+I33+I34</f>
        <v>2.1729358542260084</v>
      </c>
      <c r="J37" s="13"/>
      <c r="K37" s="6" t="s">
        <v>0</v>
      </c>
      <c r="L37" s="13"/>
      <c r="M37" s="15"/>
      <c r="N37" s="19">
        <f>N30+N31+N32+N33+N34</f>
        <v>5.0774503425799988</v>
      </c>
    </row>
    <row r="40" spans="1:14" ht="15.5" x14ac:dyDescent="0.35">
      <c r="A40" s="7" t="s">
        <v>3</v>
      </c>
      <c r="B40" s="47" t="s">
        <v>187</v>
      </c>
      <c r="C40" s="48"/>
      <c r="D40" s="49"/>
      <c r="F40" s="7" t="s">
        <v>3</v>
      </c>
      <c r="G40" s="47" t="s">
        <v>188</v>
      </c>
      <c r="H40" s="48"/>
      <c r="I40" s="49"/>
      <c r="K40" s="7"/>
      <c r="L40" s="47"/>
      <c r="M40" s="48"/>
      <c r="N40" s="49"/>
    </row>
    <row r="41" spans="1:14" ht="15.5" x14ac:dyDescent="0.35">
      <c r="A41" s="6"/>
      <c r="B41" s="7" t="s">
        <v>1</v>
      </c>
      <c r="C41" s="8" t="s">
        <v>2</v>
      </c>
      <c r="D41" s="9" t="s">
        <v>4</v>
      </c>
      <c r="E41" s="13"/>
      <c r="F41" s="6"/>
      <c r="G41" s="7" t="s">
        <v>1</v>
      </c>
      <c r="H41" s="8" t="s">
        <v>2</v>
      </c>
      <c r="I41" s="9" t="s">
        <v>4</v>
      </c>
      <c r="J41" s="13"/>
      <c r="K41" s="7"/>
      <c r="L41" s="7"/>
      <c r="M41" s="8"/>
      <c r="N41" s="8"/>
    </row>
    <row r="42" spans="1:14" ht="15.5" x14ac:dyDescent="0.35">
      <c r="A42" s="6" t="s">
        <v>138</v>
      </c>
      <c r="B42" s="28">
        <v>9</v>
      </c>
      <c r="C42" s="10">
        <f>D37</f>
        <v>1.1729635289864222</v>
      </c>
      <c r="D42" s="11">
        <f>B42*C42</f>
        <v>10.5566717608778</v>
      </c>
      <c r="E42" s="13"/>
      <c r="F42" s="6" t="s">
        <v>138</v>
      </c>
      <c r="G42" s="28">
        <v>6</v>
      </c>
      <c r="H42" s="10">
        <f>I37</f>
        <v>2.1729358542260084</v>
      </c>
      <c r="I42" s="11">
        <f>G42*H42</f>
        <v>13.037615125356051</v>
      </c>
      <c r="J42" s="13"/>
      <c r="K42" s="7"/>
      <c r="L42" s="13"/>
      <c r="M42" s="15"/>
      <c r="N42" s="74"/>
    </row>
    <row r="43" spans="1:14" ht="15.5" x14ac:dyDescent="0.35">
      <c r="A43" s="6" t="s">
        <v>94</v>
      </c>
      <c r="B43" s="28">
        <v>1</v>
      </c>
      <c r="C43" s="10">
        <f>'Ingredient Cost'!D88</f>
        <v>0.09</v>
      </c>
      <c r="D43" s="11">
        <f>B43*C43</f>
        <v>0.09</v>
      </c>
      <c r="E43" s="13"/>
      <c r="F43" s="6" t="s">
        <v>94</v>
      </c>
      <c r="G43" s="28">
        <v>1</v>
      </c>
      <c r="H43" s="10">
        <f>C43</f>
        <v>0.09</v>
      </c>
      <c r="I43" s="11">
        <f>G43*H43</f>
        <v>0.09</v>
      </c>
      <c r="J43" s="13"/>
      <c r="K43" s="7"/>
      <c r="L43" s="13"/>
      <c r="M43" s="15"/>
      <c r="N43" s="74"/>
    </row>
    <row r="44" spans="1:14" ht="15.5" x14ac:dyDescent="0.35">
      <c r="A44" s="6" t="s">
        <v>139</v>
      </c>
      <c r="B44" s="28">
        <v>9</v>
      </c>
      <c r="C44" s="10">
        <f>'Ingredient Cost'!D90</f>
        <v>0.22</v>
      </c>
      <c r="D44" s="10">
        <f>B44*C44</f>
        <v>1.98</v>
      </c>
      <c r="E44" s="13"/>
      <c r="F44" s="6" t="s">
        <v>139</v>
      </c>
      <c r="G44" s="28">
        <v>6</v>
      </c>
      <c r="H44" s="10">
        <v>0.1</v>
      </c>
      <c r="I44" s="10">
        <f>G44*H44</f>
        <v>0.60000000000000009</v>
      </c>
      <c r="J44" s="13"/>
      <c r="K44" s="7"/>
      <c r="L44" s="13"/>
      <c r="M44" s="15"/>
      <c r="N44" s="15"/>
    </row>
    <row r="45" spans="1:14" ht="15.5" x14ac:dyDescent="0.35">
      <c r="A45" s="7" t="s">
        <v>66</v>
      </c>
      <c r="B45" s="28">
        <v>1</v>
      </c>
      <c r="C45" s="10">
        <f>'Ingredient Cost'!D108</f>
        <v>0.2</v>
      </c>
      <c r="D45" s="10">
        <f>B45*C45</f>
        <v>0.2</v>
      </c>
      <c r="E45" s="13"/>
      <c r="F45" s="7" t="s">
        <v>66</v>
      </c>
      <c r="G45" s="28">
        <v>1</v>
      </c>
      <c r="H45" s="10">
        <f>C45</f>
        <v>0.2</v>
      </c>
      <c r="I45" s="10">
        <f>G45*H45</f>
        <v>0.2</v>
      </c>
      <c r="J45" s="13"/>
      <c r="K45" s="7"/>
      <c r="L45" s="13"/>
      <c r="M45" s="15"/>
      <c r="N45" s="15"/>
    </row>
    <row r="46" spans="1:14" ht="15.5" x14ac:dyDescent="0.35">
      <c r="A46" s="7" t="s">
        <v>180</v>
      </c>
      <c r="B46" s="28">
        <v>20</v>
      </c>
      <c r="C46" s="10">
        <f>C34</f>
        <v>20</v>
      </c>
      <c r="D46" s="10">
        <f>C46/B46</f>
        <v>1</v>
      </c>
      <c r="E46" s="13"/>
      <c r="F46" s="7" t="s">
        <v>180</v>
      </c>
      <c r="G46" s="28">
        <v>20</v>
      </c>
      <c r="H46" s="10">
        <f>C34</f>
        <v>20</v>
      </c>
      <c r="I46" s="10">
        <f>H46/G46</f>
        <v>1</v>
      </c>
      <c r="J46" s="13"/>
      <c r="K46" s="7"/>
      <c r="L46" s="13"/>
      <c r="M46" s="15"/>
      <c r="N46" s="15"/>
    </row>
    <row r="47" spans="1:14" ht="15.5" x14ac:dyDescent="0.35">
      <c r="A47" s="7"/>
      <c r="B47" s="28"/>
      <c r="C47" s="10"/>
      <c r="D47" s="10"/>
      <c r="E47" s="13"/>
      <c r="F47" s="7" t="s">
        <v>67</v>
      </c>
      <c r="G47" s="28">
        <v>6</v>
      </c>
      <c r="H47" s="10">
        <f>'Steak Pie v2'!H64</f>
        <v>0.01</v>
      </c>
      <c r="I47" s="10">
        <f>G47*H47</f>
        <v>0.06</v>
      </c>
      <c r="J47" s="13"/>
      <c r="K47" s="7"/>
      <c r="L47" s="13"/>
      <c r="M47" s="15"/>
      <c r="N47" s="15"/>
    </row>
    <row r="48" spans="1:14" ht="15.5" x14ac:dyDescent="0.35">
      <c r="A48" s="7"/>
      <c r="B48" s="28"/>
      <c r="C48" s="10"/>
      <c r="D48" s="10"/>
      <c r="E48" s="13"/>
      <c r="F48" s="7" t="s">
        <v>184</v>
      </c>
      <c r="G48" s="28">
        <v>6</v>
      </c>
      <c r="H48" s="10">
        <v>0.01</v>
      </c>
      <c r="I48" s="10">
        <f>G48*H48</f>
        <v>0.06</v>
      </c>
      <c r="J48" s="13"/>
      <c r="K48" s="7"/>
      <c r="L48" s="13"/>
      <c r="M48" s="15"/>
      <c r="N48" s="15"/>
    </row>
    <row r="49" spans="1:14" ht="15.5" x14ac:dyDescent="0.35">
      <c r="A49" s="7"/>
      <c r="B49" s="12"/>
      <c r="C49" s="10"/>
      <c r="D49" s="10"/>
      <c r="E49" s="13"/>
      <c r="F49" s="7"/>
      <c r="G49" s="12"/>
      <c r="H49" s="10"/>
      <c r="I49" s="10"/>
      <c r="J49" s="13"/>
      <c r="K49" s="7"/>
      <c r="L49" s="13"/>
      <c r="M49" s="15"/>
      <c r="N49" s="15"/>
    </row>
    <row r="50" spans="1:14" ht="13" x14ac:dyDescent="0.3">
      <c r="A50" s="13"/>
      <c r="B50" s="13"/>
      <c r="C50" s="15"/>
      <c r="D50" s="14"/>
      <c r="E50" s="13"/>
      <c r="F50" s="13"/>
      <c r="G50" s="13"/>
      <c r="H50" s="15"/>
      <c r="I50" s="14"/>
      <c r="J50" s="13"/>
      <c r="K50" s="13"/>
      <c r="L50" s="13"/>
      <c r="M50" s="15"/>
      <c r="N50" s="15"/>
    </row>
    <row r="51" spans="1:14" ht="15.5" x14ac:dyDescent="0.35">
      <c r="A51" s="6" t="s">
        <v>0</v>
      </c>
      <c r="B51" s="13"/>
      <c r="C51" s="15"/>
      <c r="D51" s="19">
        <f>D42+D43+D44+D45+D46</f>
        <v>13.826671760877799</v>
      </c>
      <c r="E51" s="13"/>
      <c r="F51" s="6" t="s">
        <v>0</v>
      </c>
      <c r="G51" s="13"/>
      <c r="H51" s="15"/>
      <c r="I51" s="19">
        <f>I42+I43+I44+I45+I46+I47+I48</f>
        <v>15.047615125356051</v>
      </c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D51/9</f>
        <v>1.5362968623197555</v>
      </c>
      <c r="F52" s="7" t="s">
        <v>182</v>
      </c>
      <c r="I52" s="74">
        <f>I51/6</f>
        <v>2.5079358542260084</v>
      </c>
    </row>
    <row r="53" spans="1:14" ht="13" x14ac:dyDescent="0.3">
      <c r="A53" s="13"/>
      <c r="B53" s="13"/>
      <c r="C53" s="15"/>
      <c r="D53" s="14"/>
      <c r="E53" s="13"/>
      <c r="F53" s="13"/>
      <c r="G53" s="13"/>
      <c r="H53" s="15"/>
      <c r="I53" s="14"/>
      <c r="J53" s="13"/>
      <c r="K53" s="13"/>
      <c r="L53" s="13"/>
      <c r="M53" s="15"/>
      <c r="N53" s="14"/>
    </row>
    <row r="54" spans="1:14" ht="15.5" x14ac:dyDescent="0.35">
      <c r="A54" s="6"/>
      <c r="B54" s="13"/>
      <c r="C54" s="15"/>
      <c r="D54" s="86"/>
      <c r="E54" s="13"/>
      <c r="F54" s="6"/>
      <c r="G54" s="13"/>
      <c r="H54" s="15"/>
      <c r="I54" s="86"/>
      <c r="J54" s="13"/>
      <c r="K54" s="6"/>
      <c r="L54" s="13"/>
      <c r="M54" s="15"/>
      <c r="N54" s="86"/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7B0D-6522-45C1-9EE9-F199DB2B2299}">
  <sheetPr>
    <tabColor rgb="FF92D050"/>
  </sheetPr>
  <dimension ref="A1:Q84"/>
  <sheetViews>
    <sheetView showGridLines="0" topLeftCell="A50" workbookViewId="0">
      <selection activeCell="A68" sqref="A68:D84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126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120</v>
      </c>
      <c r="B20" s="28">
        <v>3</v>
      </c>
      <c r="C20" s="10">
        <f>'Ingredient Cost'!$D$59</f>
        <v>8.5</v>
      </c>
      <c r="D20" s="156">
        <f>B20*C20</f>
        <v>25.5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121</v>
      </c>
      <c r="B21" s="28">
        <v>2.2000000000000002</v>
      </c>
      <c r="C21" s="10">
        <v>0</v>
      </c>
      <c r="D21" s="156">
        <f>B21*C21</f>
        <v>0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178</v>
      </c>
      <c r="B22" s="28">
        <v>0.45</v>
      </c>
      <c r="C22" s="10">
        <f>'Ingredient Cost'!$D$21</f>
        <v>8.9</v>
      </c>
      <c r="D22" s="157">
        <f>B22*C22</f>
        <v>4.0049999999999999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297</v>
      </c>
      <c r="B23" s="28">
        <v>1</v>
      </c>
      <c r="C23" s="10">
        <v>1.99</v>
      </c>
      <c r="D23" s="11">
        <f>B23*C23</f>
        <v>1.99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6" t="s">
        <v>4</v>
      </c>
      <c r="B24" s="154">
        <f>SUM(B20:B23)</f>
        <v>6.65</v>
      </c>
      <c r="C24" s="155"/>
      <c r="D24" s="187">
        <f>SUM(D20:D23)</f>
        <v>31.494999999999997</v>
      </c>
      <c r="E24" s="158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453</v>
      </c>
      <c r="B26" s="13"/>
      <c r="C26" s="15"/>
      <c r="D26" s="74">
        <f>D24/B24</f>
        <v>4.7360902255639088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7" t="s">
        <v>199</v>
      </c>
      <c r="B32" s="28">
        <v>0.129</v>
      </c>
      <c r="C32" s="10">
        <f>$D$26</f>
        <v>4.7360902255639088</v>
      </c>
      <c r="D32" s="156">
        <f>B32*C32</f>
        <v>0.6109556390977442</v>
      </c>
      <c r="E32" s="158"/>
      <c r="F32" s="7" t="s">
        <v>199</v>
      </c>
      <c r="G32" s="28">
        <v>0.25700000000000001</v>
      </c>
      <c r="H32" s="10">
        <f>$D$26</f>
        <v>4.7360902255639088</v>
      </c>
      <c r="I32" s="156">
        <f>G32*H32</f>
        <v>1.2171751879699246</v>
      </c>
      <c r="J32" s="158"/>
      <c r="K32" s="7" t="s">
        <v>199</v>
      </c>
      <c r="L32" s="28">
        <v>0.74</v>
      </c>
      <c r="M32" s="10">
        <f>$D$26</f>
        <v>4.7360902255639088</v>
      </c>
      <c r="N32" s="11">
        <f>L32*M32</f>
        <v>3.5047067669172924</v>
      </c>
    </row>
    <row r="33" spans="1:17" ht="15.5" x14ac:dyDescent="0.35">
      <c r="A33" s="7" t="s">
        <v>152</v>
      </c>
      <c r="B33" s="28">
        <v>1</v>
      </c>
      <c r="C33" s="10">
        <f>'Pastry Costing'!$F$30</f>
        <v>0.2107946902228468</v>
      </c>
      <c r="D33" s="156">
        <f>C33</f>
        <v>0.2107946902228468</v>
      </c>
      <c r="E33" s="158"/>
      <c r="F33" s="171" t="s">
        <v>152</v>
      </c>
      <c r="G33" s="170">
        <v>1</v>
      </c>
      <c r="H33" s="10">
        <f>'Pastry Costing'!$F$31</f>
        <v>0.34141430034129694</v>
      </c>
      <c r="I33" s="156">
        <f>H33</f>
        <v>0.34141430034129694</v>
      </c>
      <c r="J33" s="158"/>
      <c r="K33" s="171" t="s">
        <v>152</v>
      </c>
      <c r="L33" s="170">
        <v>1</v>
      </c>
      <c r="M33" s="10">
        <f>'Pastry Costing'!$F$32</f>
        <v>0.52407440273037542</v>
      </c>
      <c r="N33" s="11">
        <f>M33</f>
        <v>0.52407440273037542</v>
      </c>
    </row>
    <row r="34" spans="1:17" ht="15.5" x14ac:dyDescent="0.35">
      <c r="A34" s="7" t="s">
        <v>115</v>
      </c>
      <c r="B34" s="28">
        <v>1</v>
      </c>
      <c r="C34" s="10">
        <f>'Ingredient Cost'!$D$11</f>
        <v>0.02</v>
      </c>
      <c r="D34" s="157">
        <f>B34*C34</f>
        <v>0.02</v>
      </c>
      <c r="E34" s="158"/>
      <c r="F34" s="7" t="s">
        <v>115</v>
      </c>
      <c r="G34" s="28">
        <v>1</v>
      </c>
      <c r="H34" s="10">
        <f>'Ingredient Cost'!$D$11</f>
        <v>0.02</v>
      </c>
      <c r="I34" s="157">
        <f>H34</f>
        <v>0.02</v>
      </c>
      <c r="J34" s="158"/>
      <c r="K34" s="7" t="s">
        <v>115</v>
      </c>
      <c r="L34" s="28">
        <v>1</v>
      </c>
      <c r="M34" s="10">
        <f>'Ingredient Cost'!$D$11</f>
        <v>0.02</v>
      </c>
      <c r="N34" s="10">
        <f>L34*M34</f>
        <v>0.02</v>
      </c>
    </row>
    <row r="35" spans="1:17" ht="15.5" x14ac:dyDescent="0.35">
      <c r="A35" s="7" t="s">
        <v>0</v>
      </c>
      <c r="B35" s="13"/>
      <c r="C35" s="15"/>
      <c r="D35" s="74">
        <f>SUM(D32:D34)</f>
        <v>0.84175032932059102</v>
      </c>
      <c r="E35" s="13"/>
      <c r="F35" s="7" t="s">
        <v>0</v>
      </c>
      <c r="G35" s="13"/>
      <c r="H35" s="15"/>
      <c r="I35" s="74">
        <f>SUM(I32:I34)</f>
        <v>1.5785894883112217</v>
      </c>
      <c r="J35" s="13"/>
      <c r="K35" s="7" t="s">
        <v>0</v>
      </c>
      <c r="L35" s="13"/>
      <c r="M35" s="15"/>
      <c r="N35" s="74">
        <f>SUM(N32:N34)</f>
        <v>4.0487811696476674</v>
      </c>
    </row>
    <row r="36" spans="1:17" ht="15.5" x14ac:dyDescent="0.35">
      <c r="A36" s="7"/>
      <c r="B36" s="13"/>
      <c r="C36" s="15"/>
      <c r="D36" s="74"/>
      <c r="E36" s="13"/>
      <c r="F36" s="7"/>
      <c r="G36" s="13"/>
      <c r="H36" s="15"/>
      <c r="I36" s="74"/>
      <c r="J36" s="13"/>
      <c r="K36" s="7"/>
      <c r="L36" s="13"/>
      <c r="M36" s="15"/>
      <c r="N36" s="74"/>
    </row>
    <row r="37" spans="1:17" ht="15.5" x14ac:dyDescent="0.35">
      <c r="A37" s="164" t="s">
        <v>460</v>
      </c>
      <c r="B37" s="166"/>
      <c r="C37" s="167"/>
      <c r="D37" s="188"/>
      <c r="E37" s="166"/>
      <c r="F37" s="164"/>
      <c r="G37" s="166"/>
      <c r="H37" s="167"/>
      <c r="I37" s="188"/>
      <c r="J37" s="166"/>
      <c r="K37" s="164"/>
      <c r="L37" s="166"/>
      <c r="M37" s="167"/>
      <c r="N37" s="188"/>
    </row>
    <row r="38" spans="1:17" ht="15.5" x14ac:dyDescent="0.35">
      <c r="A38" s="7"/>
      <c r="B38" s="13"/>
      <c r="C38" s="15"/>
      <c r="D38" s="74"/>
      <c r="E38" s="13"/>
      <c r="F38" s="7"/>
      <c r="G38" s="13"/>
      <c r="H38" s="15"/>
      <c r="I38" s="74"/>
      <c r="J38" s="13"/>
      <c r="K38" s="7"/>
      <c r="L38" s="13"/>
      <c r="M38" s="15"/>
      <c r="N38" s="74"/>
    </row>
    <row r="39" spans="1:17" ht="15.5" x14ac:dyDescent="0.35">
      <c r="A39" s="159" t="s">
        <v>459</v>
      </c>
      <c r="B39" s="160"/>
      <c r="C39" s="161"/>
      <c r="D39" s="162"/>
      <c r="F39" s="159" t="s">
        <v>42</v>
      </c>
      <c r="G39" s="159"/>
      <c r="H39" s="161"/>
      <c r="I39" s="162"/>
      <c r="K39" s="159" t="s">
        <v>43</v>
      </c>
      <c r="L39" s="160"/>
      <c r="M39" s="161"/>
      <c r="N39" s="162"/>
    </row>
    <row r="40" spans="1:17" ht="15.5" x14ac:dyDescent="0.35">
      <c r="A40" s="6"/>
      <c r="B40" s="7" t="s">
        <v>1</v>
      </c>
      <c r="C40" s="8" t="s">
        <v>2</v>
      </c>
      <c r="D40" s="8" t="s">
        <v>4</v>
      </c>
      <c r="E40" s="13"/>
      <c r="F40" s="7"/>
      <c r="G40" s="7" t="s">
        <v>1</v>
      </c>
      <c r="H40" s="8" t="s">
        <v>2</v>
      </c>
      <c r="I40" s="8" t="s">
        <v>4</v>
      </c>
      <c r="J40" s="13"/>
      <c r="K40" s="7"/>
      <c r="L40" s="7" t="s">
        <v>1</v>
      </c>
      <c r="M40" s="8" t="s">
        <v>2</v>
      </c>
      <c r="N40" s="8" t="s">
        <v>4</v>
      </c>
    </row>
    <row r="41" spans="1:17" ht="15.5" x14ac:dyDescent="0.35">
      <c r="A41" s="171" t="s">
        <v>449</v>
      </c>
      <c r="B41" s="170">
        <v>1</v>
      </c>
      <c r="C41" s="10">
        <f>$D$35</f>
        <v>0.84175032932059102</v>
      </c>
      <c r="D41" s="156">
        <f>B41*C41</f>
        <v>0.84175032932059102</v>
      </c>
      <c r="E41" s="158"/>
      <c r="F41" s="171" t="s">
        <v>449</v>
      </c>
      <c r="G41" s="170">
        <v>1</v>
      </c>
      <c r="H41" s="10">
        <f>$I$35</f>
        <v>1.5785894883112217</v>
      </c>
      <c r="I41" s="156">
        <f>G41*H41</f>
        <v>1.5785894883112217</v>
      </c>
      <c r="J41" s="158"/>
      <c r="K41" s="171" t="s">
        <v>449</v>
      </c>
      <c r="L41" s="170">
        <v>1</v>
      </c>
      <c r="M41" s="10">
        <f>$N$35</f>
        <v>4.0487811696476674</v>
      </c>
      <c r="N41" s="11">
        <f>L41*M41</f>
        <v>4.0487811696476674</v>
      </c>
    </row>
    <row r="42" spans="1:17" ht="15.5" x14ac:dyDescent="0.35">
      <c r="A42" s="7" t="s">
        <v>106</v>
      </c>
      <c r="B42" s="28">
        <v>1</v>
      </c>
      <c r="C42" s="10">
        <f>'Ingredient Cost'!$D$95</f>
        <v>0.09</v>
      </c>
      <c r="D42" s="10">
        <f>B42*C42</f>
        <v>0.09</v>
      </c>
      <c r="E42" s="13"/>
      <c r="F42" s="7" t="s">
        <v>106</v>
      </c>
      <c r="G42" s="28">
        <v>1</v>
      </c>
      <c r="H42" s="10">
        <f>'Ingredient Cost'!$D$83</f>
        <v>7.0000000000000007E-2</v>
      </c>
      <c r="I42" s="157">
        <f>G42*H42</f>
        <v>7.0000000000000007E-2</v>
      </c>
      <c r="J42" s="158"/>
      <c r="K42" s="7" t="s">
        <v>106</v>
      </c>
      <c r="L42" s="28">
        <v>1</v>
      </c>
      <c r="M42" s="10">
        <f>'Ingredient Cost'!$D$83</f>
        <v>7.0000000000000007E-2</v>
      </c>
      <c r="N42" s="10">
        <f>L42*M42</f>
        <v>7.0000000000000007E-2</v>
      </c>
    </row>
    <row r="43" spans="1:17" ht="15.5" x14ac:dyDescent="0.35">
      <c r="A43" s="7" t="s">
        <v>139</v>
      </c>
      <c r="B43" s="28">
        <v>1</v>
      </c>
      <c r="C43" s="10">
        <f>'Ingredient Cost'!$D$89</f>
        <v>0.06</v>
      </c>
      <c r="D43" s="10">
        <f>B43*C43</f>
        <v>0.06</v>
      </c>
      <c r="E43" s="13"/>
      <c r="F43" s="7" t="s">
        <v>139</v>
      </c>
      <c r="G43" s="28">
        <v>1</v>
      </c>
      <c r="H43" s="10">
        <v>0.22</v>
      </c>
      <c r="I43" s="157">
        <f>H43*G43</f>
        <v>0.22</v>
      </c>
      <c r="J43" s="158"/>
      <c r="K43" s="7" t="s">
        <v>139</v>
      </c>
      <c r="L43" s="28">
        <v>1</v>
      </c>
      <c r="M43" s="10">
        <v>0.3</v>
      </c>
      <c r="N43" s="10">
        <v>0.3</v>
      </c>
    </row>
    <row r="44" spans="1:17" ht="15.5" x14ac:dyDescent="0.35">
      <c r="F44" s="7" t="s">
        <v>67</v>
      </c>
      <c r="G44" s="28">
        <v>1</v>
      </c>
      <c r="H44" s="10">
        <v>0.15</v>
      </c>
      <c r="I44" s="10">
        <v>0.15</v>
      </c>
      <c r="K44" s="7" t="s">
        <v>67</v>
      </c>
      <c r="L44" s="28">
        <v>1</v>
      </c>
      <c r="M44" s="10">
        <v>0.15</v>
      </c>
      <c r="N44" s="10">
        <v>0.15</v>
      </c>
    </row>
    <row r="45" spans="1:17" ht="15.5" x14ac:dyDescent="0.35">
      <c r="A45" s="6" t="s">
        <v>0</v>
      </c>
      <c r="B45" s="13"/>
      <c r="C45" s="15"/>
      <c r="D45" s="74">
        <f>SUM(D41:D43)</f>
        <v>0.99175032932059093</v>
      </c>
      <c r="E45" s="13"/>
      <c r="F45" s="7" t="s">
        <v>0</v>
      </c>
      <c r="G45" s="13"/>
      <c r="H45" s="15"/>
      <c r="I45" s="74">
        <f>SUM(I41:I44)</f>
        <v>2.0185894883112216</v>
      </c>
      <c r="J45" s="13"/>
      <c r="K45" s="7" t="s">
        <v>0</v>
      </c>
      <c r="L45" s="13"/>
      <c r="M45" s="15"/>
      <c r="N45" s="74">
        <f>SUM(N41:N44)</f>
        <v>4.5687811696476679</v>
      </c>
    </row>
    <row r="46" spans="1:17" ht="15.5" x14ac:dyDescent="0.35">
      <c r="A46" s="7"/>
      <c r="B46" s="13"/>
      <c r="C46" s="15"/>
      <c r="D46" s="74"/>
      <c r="E46" s="13"/>
      <c r="F46" s="7"/>
      <c r="G46" s="13"/>
      <c r="H46" s="15"/>
      <c r="I46" s="74"/>
      <c r="J46" s="13"/>
      <c r="K46" s="7"/>
      <c r="L46" s="13"/>
      <c r="M46" s="15"/>
      <c r="N46" s="74"/>
    </row>
    <row r="48" spans="1:17" ht="15.5" x14ac:dyDescent="0.35">
      <c r="A48" s="164" t="s">
        <v>461</v>
      </c>
      <c r="B48" s="165"/>
      <c r="C48" s="167"/>
      <c r="D48" s="189" t="s">
        <v>462</v>
      </c>
      <c r="E48" s="164" t="s">
        <v>456</v>
      </c>
      <c r="F48" s="164"/>
      <c r="G48" s="166"/>
      <c r="H48" s="167"/>
      <c r="I48" s="168"/>
      <c r="J48" s="166"/>
      <c r="K48" s="169"/>
      <c r="L48" s="169"/>
      <c r="M48" s="166"/>
      <c r="N48" s="166"/>
      <c r="O48" s="13"/>
      <c r="P48" s="13"/>
      <c r="Q48" s="13"/>
    </row>
    <row r="49" spans="1:17" ht="15.5" x14ac:dyDescent="0.35">
      <c r="A49" s="7"/>
      <c r="B49" s="13"/>
      <c r="C49" s="15"/>
      <c r="D49" s="20"/>
      <c r="E49" s="13"/>
      <c r="F49" s="22"/>
      <c r="G49" s="22"/>
      <c r="H49" s="22"/>
      <c r="I49" s="22"/>
      <c r="J49" s="22"/>
      <c r="K49" s="22"/>
      <c r="L49" s="22"/>
      <c r="M49" s="13"/>
      <c r="N49" s="13"/>
      <c r="O49" s="13"/>
      <c r="P49" s="13"/>
      <c r="Q49" s="13"/>
    </row>
    <row r="50" spans="1:17" ht="15.5" x14ac:dyDescent="0.35">
      <c r="A50" s="159" t="s">
        <v>166</v>
      </c>
      <c r="B50" s="160"/>
      <c r="C50" s="161"/>
      <c r="D50" s="162"/>
      <c r="F50" s="159" t="s">
        <v>42</v>
      </c>
      <c r="G50" s="159"/>
      <c r="H50" s="161"/>
      <c r="I50" s="162"/>
      <c r="K50" s="159" t="s">
        <v>43</v>
      </c>
      <c r="L50" s="160"/>
      <c r="M50" s="161"/>
      <c r="N50" s="162"/>
    </row>
    <row r="51" spans="1:17" ht="15.5" x14ac:dyDescent="0.35">
      <c r="A51" s="6"/>
      <c r="B51" s="7" t="s">
        <v>1</v>
      </c>
      <c r="C51" s="8" t="s">
        <v>2</v>
      </c>
      <c r="D51" s="8" t="s">
        <v>4</v>
      </c>
      <c r="E51" s="13"/>
      <c r="F51" s="7"/>
      <c r="G51" s="7" t="s">
        <v>1</v>
      </c>
      <c r="H51" s="8" t="s">
        <v>2</v>
      </c>
      <c r="I51" s="8" t="s">
        <v>4</v>
      </c>
      <c r="J51" s="13"/>
      <c r="K51" s="7"/>
      <c r="L51" s="7" t="s">
        <v>1</v>
      </c>
      <c r="M51" s="8" t="s">
        <v>2</v>
      </c>
      <c r="N51" s="8" t="s">
        <v>4</v>
      </c>
    </row>
    <row r="52" spans="1:17" ht="15.5" x14ac:dyDescent="0.35">
      <c r="A52" s="171" t="s">
        <v>463</v>
      </c>
      <c r="B52" s="170">
        <v>1</v>
      </c>
      <c r="C52" s="10">
        <f>$D$45</f>
        <v>0.99175032932059093</v>
      </c>
      <c r="D52" s="156">
        <f>B52*C52</f>
        <v>0.99175032932059093</v>
      </c>
      <c r="E52" s="158"/>
      <c r="F52" s="171" t="s">
        <v>463</v>
      </c>
      <c r="G52" s="170">
        <v>1</v>
      </c>
      <c r="H52" s="10">
        <f>$I$45</f>
        <v>2.0185894883112216</v>
      </c>
      <c r="I52" s="156">
        <f>G52*H52</f>
        <v>2.0185894883112216</v>
      </c>
      <c r="J52" s="158"/>
      <c r="K52" s="171" t="s">
        <v>463</v>
      </c>
      <c r="L52" s="170">
        <v>1</v>
      </c>
      <c r="M52" s="10">
        <f>$N$45</f>
        <v>4.5687811696476679</v>
      </c>
      <c r="N52" s="11">
        <f>L52*M52</f>
        <v>4.5687811696476679</v>
      </c>
    </row>
    <row r="53" spans="1:17" ht="15.5" x14ac:dyDescent="0.35">
      <c r="A53" s="7" t="s">
        <v>180</v>
      </c>
      <c r="B53" s="28">
        <v>60</v>
      </c>
      <c r="C53" s="10">
        <f>'Ingredient Cost'!$B$113</f>
        <v>20</v>
      </c>
      <c r="D53" s="10">
        <f>C53/B53</f>
        <v>0.33333333333333331</v>
      </c>
      <c r="E53" s="13"/>
      <c r="F53" s="7" t="s">
        <v>140</v>
      </c>
      <c r="G53" s="28">
        <v>48</v>
      </c>
      <c r="H53" s="10">
        <f>'Ingredient Cost'!$B$113</f>
        <v>20</v>
      </c>
      <c r="I53" s="157">
        <f>H53/G53</f>
        <v>0.41666666666666669</v>
      </c>
      <c r="J53" s="158"/>
      <c r="K53" s="7" t="s">
        <v>140</v>
      </c>
      <c r="L53" s="28">
        <v>50</v>
      </c>
      <c r="M53" s="10">
        <f>'Ingredient Cost'!$B$113</f>
        <v>20</v>
      </c>
      <c r="N53" s="10">
        <f>M53/L53</f>
        <v>0.4</v>
      </c>
    </row>
    <row r="54" spans="1:17" ht="15.5" x14ac:dyDescent="0.35">
      <c r="A54" s="6" t="s">
        <v>0</v>
      </c>
      <c r="B54" s="13"/>
      <c r="C54" s="15"/>
      <c r="D54" s="74">
        <f>SUM(D52:D53)</f>
        <v>1.3250836626539242</v>
      </c>
      <c r="E54" s="13"/>
      <c r="F54" s="7" t="s">
        <v>0</v>
      </c>
      <c r="G54" s="13"/>
      <c r="H54" s="15"/>
      <c r="I54" s="74">
        <f>SUM(I52:I53)</f>
        <v>2.4352561549778882</v>
      </c>
      <c r="J54" s="13"/>
      <c r="K54" s="7" t="s">
        <v>0</v>
      </c>
      <c r="L54" s="13"/>
      <c r="M54" s="15"/>
      <c r="N54" s="74">
        <f>SUM(N52:N53)</f>
        <v>4.9687811696476682</v>
      </c>
    </row>
    <row r="55" spans="1:17" ht="15.5" x14ac:dyDescent="0.35">
      <c r="A55" s="7"/>
      <c r="B55" s="13"/>
      <c r="C55" s="15"/>
      <c r="D55" s="74"/>
      <c r="E55" s="13"/>
      <c r="F55" s="7"/>
      <c r="G55" s="13"/>
      <c r="H55" s="15"/>
      <c r="I55" s="74"/>
      <c r="J55" s="13"/>
      <c r="K55" s="7"/>
      <c r="L55" s="13"/>
      <c r="M55" s="15"/>
      <c r="N55" s="74"/>
    </row>
    <row r="56" spans="1:17" ht="15.5" x14ac:dyDescent="0.35">
      <c r="A56" s="7"/>
      <c r="B56" s="74" t="s">
        <v>467</v>
      </c>
      <c r="C56" s="163"/>
      <c r="D56" s="191">
        <f>D$53/D$52</f>
        <v>0.33610609795480162</v>
      </c>
      <c r="E56" s="13"/>
      <c r="F56" s="7"/>
      <c r="G56" s="74" t="s">
        <v>467</v>
      </c>
      <c r="H56" s="74"/>
      <c r="I56" s="191">
        <f>I$53/I$52</f>
        <v>0.20641476094045028</v>
      </c>
      <c r="J56" s="13"/>
      <c r="K56" s="7"/>
      <c r="L56" s="74" t="s">
        <v>467</v>
      </c>
      <c r="M56" s="163"/>
      <c r="N56" s="191">
        <f>N$53/N$52</f>
        <v>8.7550702287377657E-2</v>
      </c>
    </row>
    <row r="57" spans="1:17" ht="15.5" x14ac:dyDescent="0.35">
      <c r="A57" s="164" t="s">
        <v>448</v>
      </c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</row>
    <row r="59" spans="1:17" ht="15.5" x14ac:dyDescent="0.35">
      <c r="A59" s="190" t="s">
        <v>466</v>
      </c>
      <c r="B59" s="159"/>
      <c r="C59" s="161"/>
      <c r="D59" s="162"/>
      <c r="F59" s="190" t="s">
        <v>465</v>
      </c>
      <c r="G59" s="159"/>
      <c r="H59" s="161"/>
      <c r="I59" s="162"/>
      <c r="K59" s="7"/>
      <c r="L59" s="47"/>
      <c r="M59" s="48"/>
      <c r="N59" s="49"/>
    </row>
    <row r="60" spans="1:17" ht="15.5" x14ac:dyDescent="0.35">
      <c r="A60" s="7"/>
      <c r="B60" s="7" t="s">
        <v>1</v>
      </c>
      <c r="C60" s="8" t="s">
        <v>2</v>
      </c>
      <c r="D60" s="8" t="s">
        <v>4</v>
      </c>
      <c r="E60" s="13"/>
      <c r="F60" s="7"/>
      <c r="G60" s="7" t="s">
        <v>1</v>
      </c>
      <c r="H60" s="8" t="s">
        <v>2</v>
      </c>
      <c r="I60" s="8" t="s">
        <v>4</v>
      </c>
      <c r="J60" s="13"/>
      <c r="K60" s="7"/>
      <c r="L60" s="7"/>
      <c r="M60" s="8"/>
      <c r="N60" s="8"/>
    </row>
    <row r="61" spans="1:17" ht="15.5" x14ac:dyDescent="0.35">
      <c r="A61" s="7" t="s">
        <v>454</v>
      </c>
      <c r="B61" s="28">
        <v>9</v>
      </c>
      <c r="C61" s="10">
        <f>D54</f>
        <v>1.3250836626539242</v>
      </c>
      <c r="D61" s="11">
        <f>B61*C61</f>
        <v>11.925752963885317</v>
      </c>
      <c r="E61" s="13"/>
      <c r="F61" s="7" t="s">
        <v>454</v>
      </c>
      <c r="G61" s="28">
        <v>4</v>
      </c>
      <c r="H61" s="10">
        <f>I54</f>
        <v>2.4352561549778882</v>
      </c>
      <c r="I61" s="11">
        <f>G61*H61</f>
        <v>9.7410246199115527</v>
      </c>
      <c r="J61" s="13"/>
      <c r="K61" s="7"/>
      <c r="L61" s="13"/>
      <c r="M61" s="15"/>
      <c r="N61" s="74"/>
    </row>
    <row r="62" spans="1:17" ht="15.5" x14ac:dyDescent="0.35">
      <c r="A62" s="7" t="s">
        <v>464</v>
      </c>
      <c r="B62" s="28">
        <v>1</v>
      </c>
      <c r="C62" s="10">
        <f>'Ingredient Cost'!D108</f>
        <v>0.2</v>
      </c>
      <c r="D62" s="10">
        <f>B62*C62</f>
        <v>0.2</v>
      </c>
      <c r="E62" s="13"/>
      <c r="F62" s="7" t="s">
        <v>464</v>
      </c>
      <c r="G62" s="28">
        <v>1</v>
      </c>
      <c r="H62" s="10">
        <f>C62</f>
        <v>0.2</v>
      </c>
      <c r="I62" s="10">
        <f>G62*H62</f>
        <v>0.2</v>
      </c>
      <c r="J62" s="13"/>
      <c r="K62" s="7"/>
      <c r="L62" s="13"/>
      <c r="M62" s="15"/>
      <c r="N62" s="15"/>
    </row>
    <row r="63" spans="1:17" ht="15.5" x14ac:dyDescent="0.35">
      <c r="A63" s="7" t="s">
        <v>180</v>
      </c>
      <c r="B63" s="28">
        <v>180</v>
      </c>
      <c r="C63" s="10">
        <f>C53</f>
        <v>20</v>
      </c>
      <c r="D63" s="10">
        <f>C63/B63</f>
        <v>0.1111111111111111</v>
      </c>
      <c r="E63" s="13"/>
      <c r="F63" s="7" t="s">
        <v>180</v>
      </c>
      <c r="G63" s="28">
        <v>180</v>
      </c>
      <c r="H63" s="10">
        <f>C53</f>
        <v>20</v>
      </c>
      <c r="I63" s="10">
        <f>H63/G63</f>
        <v>0.1111111111111111</v>
      </c>
      <c r="J63" s="13"/>
      <c r="K63" s="7"/>
      <c r="L63" s="13"/>
      <c r="M63" s="15"/>
      <c r="N63" s="15"/>
    </row>
    <row r="64" spans="1:17" ht="15.5" x14ac:dyDescent="0.35">
      <c r="A64" s="7" t="s">
        <v>184</v>
      </c>
      <c r="B64" s="28">
        <v>1</v>
      </c>
      <c r="C64" s="10">
        <v>0.01</v>
      </c>
      <c r="D64" s="10">
        <f>B64*C64</f>
        <v>0.01</v>
      </c>
      <c r="E64" s="13"/>
      <c r="F64" s="7" t="s">
        <v>184</v>
      </c>
      <c r="G64" s="28">
        <v>1</v>
      </c>
      <c r="H64" s="10">
        <v>0.01</v>
      </c>
      <c r="I64" s="10">
        <f>G64*H64</f>
        <v>0.01</v>
      </c>
      <c r="J64" s="13"/>
      <c r="K64" s="7"/>
      <c r="L64" s="13"/>
      <c r="M64" s="15"/>
      <c r="N64" s="15"/>
    </row>
    <row r="65" spans="1:14" ht="15.5" x14ac:dyDescent="0.35">
      <c r="A65" s="7" t="s">
        <v>0</v>
      </c>
      <c r="B65" s="13"/>
      <c r="C65" s="15"/>
      <c r="D65" s="74">
        <f>SUM(D61:D64)</f>
        <v>12.246864074996427</v>
      </c>
      <c r="E65" s="13"/>
      <c r="F65" s="7" t="s">
        <v>0</v>
      </c>
      <c r="G65" s="13"/>
      <c r="H65" s="15"/>
      <c r="I65" s="74">
        <f>SUM(I61:I64)</f>
        <v>10.062135731022662</v>
      </c>
      <c r="J65" s="13"/>
      <c r="K65" s="7"/>
      <c r="L65" s="13"/>
      <c r="M65" s="15"/>
      <c r="N65" s="82"/>
    </row>
    <row r="66" spans="1:14" ht="15.5" x14ac:dyDescent="0.35">
      <c r="A66" s="7" t="s">
        <v>182</v>
      </c>
      <c r="D66" s="74">
        <f>D65/9</f>
        <v>1.3607626749996031</v>
      </c>
      <c r="F66" s="7" t="s">
        <v>182</v>
      </c>
      <c r="I66" s="74">
        <f>I65/4</f>
        <v>2.5155339327556656</v>
      </c>
    </row>
    <row r="67" spans="1:14" ht="15.5" x14ac:dyDescent="0.35">
      <c r="A67" s="7"/>
      <c r="D67" s="74"/>
      <c r="F67" s="7"/>
      <c r="I67" s="74"/>
    </row>
    <row r="68" spans="1:14" ht="15.5" x14ac:dyDescent="0.35">
      <c r="A68" s="190" t="s">
        <v>475</v>
      </c>
      <c r="B68" s="159"/>
      <c r="C68" s="161"/>
      <c r="D68" s="162"/>
      <c r="F68" s="7"/>
      <c r="I68" s="74"/>
    </row>
    <row r="69" spans="1:14" ht="15.5" x14ac:dyDescent="0.35">
      <c r="A69" s="7"/>
      <c r="B69" s="7" t="s">
        <v>1</v>
      </c>
      <c r="C69" s="8" t="s">
        <v>2</v>
      </c>
      <c r="D69" s="8" t="s">
        <v>4</v>
      </c>
    </row>
    <row r="70" spans="1:14" ht="15.5" x14ac:dyDescent="0.35">
      <c r="A70" s="7" t="s">
        <v>454</v>
      </c>
      <c r="B70" s="28">
        <v>6</v>
      </c>
      <c r="C70" s="10">
        <f>D54</f>
        <v>1.3250836626539242</v>
      </c>
      <c r="D70" s="11">
        <f>B70*C70</f>
        <v>7.9505019759235456</v>
      </c>
    </row>
    <row r="71" spans="1:14" ht="15.5" x14ac:dyDescent="0.35">
      <c r="A71" s="7" t="s">
        <v>464</v>
      </c>
      <c r="B71" s="28">
        <v>1</v>
      </c>
      <c r="C71" s="10">
        <f>C62</f>
        <v>0.2</v>
      </c>
      <c r="D71" s="10">
        <f>B71*C71</f>
        <v>0.2</v>
      </c>
    </row>
    <row r="72" spans="1:14" ht="15.5" x14ac:dyDescent="0.35">
      <c r="A72" s="7" t="s">
        <v>180</v>
      </c>
      <c r="B72" s="28">
        <v>180</v>
      </c>
      <c r="C72" s="10">
        <v>20</v>
      </c>
      <c r="D72" s="10">
        <f>C72/B72</f>
        <v>0.1111111111111111</v>
      </c>
    </row>
    <row r="73" spans="1:14" ht="15.5" x14ac:dyDescent="0.35">
      <c r="A73" s="7" t="s">
        <v>184</v>
      </c>
      <c r="B73" s="28">
        <v>1</v>
      </c>
      <c r="C73" s="10">
        <v>0.01</v>
      </c>
      <c r="D73" s="10">
        <f>B73*C73</f>
        <v>0.01</v>
      </c>
    </row>
    <row r="74" spans="1:14" ht="15.5" x14ac:dyDescent="0.35">
      <c r="A74" s="7" t="s">
        <v>0</v>
      </c>
      <c r="B74" s="13"/>
      <c r="C74" s="15"/>
      <c r="D74" s="74">
        <f>SUM(D70:D73)</f>
        <v>8.2716130870346554</v>
      </c>
    </row>
    <row r="75" spans="1:14" ht="15.5" x14ac:dyDescent="0.35">
      <c r="A75" s="7" t="s">
        <v>182</v>
      </c>
      <c r="D75" s="74">
        <f>D74/6</f>
        <v>1.3786021811724425</v>
      </c>
    </row>
    <row r="77" spans="1:14" ht="15.5" x14ac:dyDescent="0.35">
      <c r="A77" s="190" t="s">
        <v>485</v>
      </c>
      <c r="B77" s="159"/>
      <c r="C77" s="161"/>
      <c r="D77" s="162"/>
    </row>
    <row r="78" spans="1:14" ht="15.5" x14ac:dyDescent="0.35">
      <c r="A78" s="7"/>
      <c r="B78" s="7" t="s">
        <v>1</v>
      </c>
      <c r="C78" s="8" t="s">
        <v>2</v>
      </c>
      <c r="D78" s="8" t="s">
        <v>4</v>
      </c>
    </row>
    <row r="79" spans="1:14" ht="15.5" x14ac:dyDescent="0.35">
      <c r="A79" s="7" t="s">
        <v>454</v>
      </c>
      <c r="B79" s="28">
        <v>12</v>
      </c>
      <c r="C79" s="10">
        <f>D54</f>
        <v>1.3250836626539242</v>
      </c>
      <c r="D79" s="11">
        <f>B79*C79</f>
        <v>15.901003951847091</v>
      </c>
    </row>
    <row r="80" spans="1:14" ht="15.5" x14ac:dyDescent="0.35">
      <c r="A80" s="7" t="s">
        <v>464</v>
      </c>
      <c r="B80" s="28">
        <v>1</v>
      </c>
      <c r="C80" s="10">
        <f>C62</f>
        <v>0.2</v>
      </c>
      <c r="D80" s="10">
        <f>B80*C80</f>
        <v>0.2</v>
      </c>
    </row>
    <row r="81" spans="1:4" ht="15.5" x14ac:dyDescent="0.35">
      <c r="A81" s="7" t="s">
        <v>180</v>
      </c>
      <c r="B81" s="28">
        <v>180</v>
      </c>
      <c r="C81" s="10">
        <v>20</v>
      </c>
      <c r="D81" s="10">
        <f>C81/B81</f>
        <v>0.1111111111111111</v>
      </c>
    </row>
    <row r="82" spans="1:4" ht="15.5" x14ac:dyDescent="0.35">
      <c r="A82" s="7" t="s">
        <v>184</v>
      </c>
      <c r="B82" s="28">
        <v>1</v>
      </c>
      <c r="C82" s="10">
        <v>0.01</v>
      </c>
      <c r="D82" s="10">
        <f>B82*C82</f>
        <v>0.01</v>
      </c>
    </row>
    <row r="83" spans="1:4" ht="15.5" x14ac:dyDescent="0.35">
      <c r="A83" s="7" t="s">
        <v>0</v>
      </c>
      <c r="B83" s="13"/>
      <c r="C83" s="15"/>
      <c r="D83" s="74">
        <f>SUM(D79:D82)</f>
        <v>16.222115062958203</v>
      </c>
    </row>
    <row r="84" spans="1:4" ht="15.5" x14ac:dyDescent="0.35">
      <c r="A84" s="7" t="s">
        <v>182</v>
      </c>
      <c r="D84" s="74">
        <f>D83/12</f>
        <v>1.3518429219131836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53"/>
  <sheetViews>
    <sheetView topLeftCell="A7" workbookViewId="0">
      <selection activeCell="D26" sqref="D26"/>
    </sheetView>
  </sheetViews>
  <sheetFormatPr defaultRowHeight="12.5" x14ac:dyDescent="0.25"/>
  <cols>
    <col min="1" max="1" width="26.54296875" customWidth="1"/>
    <col min="3" max="3" width="10.1796875" customWidth="1"/>
    <col min="4" max="4" width="12.54296875" customWidth="1"/>
    <col min="5" max="5" width="11.453125" customWidth="1"/>
    <col min="6" max="6" width="26.81640625" customWidth="1"/>
    <col min="11" max="11" width="25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141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142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120</v>
      </c>
      <c r="B18" s="28">
        <v>3</v>
      </c>
      <c r="C18" s="10">
        <f>'Ingredient Cost'!D59</f>
        <v>8.5</v>
      </c>
      <c r="D18" s="11">
        <f>B18*C18</f>
        <v>25.5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121</v>
      </c>
      <c r="B19" s="28">
        <v>2.2000000000000002</v>
      </c>
      <c r="C19" s="10">
        <v>0</v>
      </c>
      <c r="D19" s="11">
        <f>B19*C19</f>
        <v>0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178</v>
      </c>
      <c r="B20" s="28">
        <v>0.45</v>
      </c>
      <c r="C20" s="10">
        <v>8.9</v>
      </c>
      <c r="D20" s="10">
        <f>B20*C20</f>
        <v>4.0049999999999999</v>
      </c>
      <c r="E20" s="13"/>
      <c r="F20" s="6"/>
      <c r="G20" s="13"/>
      <c r="H20" s="15"/>
      <c r="I20" s="74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/>
      <c r="B21" s="28"/>
      <c r="C21" s="10"/>
      <c r="D21" s="10"/>
      <c r="E21" s="13"/>
      <c r="F21" s="6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/>
      <c r="B22" s="12"/>
      <c r="C22" s="10"/>
      <c r="D22" s="10"/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/>
      <c r="B23" s="12">
        <f>SUM(B18:B21)</f>
        <v>5.65</v>
      </c>
      <c r="C23" s="10"/>
      <c r="D23" s="10">
        <f>SUM(D18:D21)</f>
        <v>29.504999999999999</v>
      </c>
      <c r="E23" s="13"/>
      <c r="F23" s="7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13"/>
      <c r="B24" s="13"/>
      <c r="C24" s="15"/>
      <c r="D24" s="14"/>
      <c r="E24" s="13"/>
      <c r="F24" s="6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 t="s">
        <v>0</v>
      </c>
      <c r="B25" s="13"/>
      <c r="C25" s="15"/>
      <c r="D25" s="19">
        <f>D23/B23</f>
        <v>5.2221238938053096</v>
      </c>
      <c r="E25" s="13"/>
      <c r="F25" s="13"/>
      <c r="G25" s="13"/>
      <c r="H25" s="15"/>
      <c r="I25" s="15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/>
      <c r="B26" s="13"/>
      <c r="C26" s="15"/>
      <c r="D26" s="19"/>
      <c r="E26" s="13"/>
      <c r="F26" s="6"/>
      <c r="G26" s="13"/>
      <c r="H26" s="15"/>
      <c r="I26" s="20"/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21"/>
      <c r="G27" s="22"/>
      <c r="H27" s="22"/>
      <c r="I27" s="22"/>
      <c r="J27" s="22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7" t="s">
        <v>3</v>
      </c>
      <c r="B28" s="47" t="s">
        <v>143</v>
      </c>
      <c r="C28" s="48"/>
      <c r="D28" s="49"/>
      <c r="F28" s="7" t="s">
        <v>3</v>
      </c>
      <c r="G28" s="47" t="s">
        <v>144</v>
      </c>
      <c r="H28" s="48"/>
      <c r="I28" s="49"/>
      <c r="K28" s="7" t="s">
        <v>3</v>
      </c>
      <c r="L28" s="47" t="s">
        <v>145</v>
      </c>
      <c r="M28" s="48"/>
      <c r="N28" s="49"/>
    </row>
    <row r="29" spans="1:17" ht="15.5" x14ac:dyDescent="0.35">
      <c r="A29" s="6"/>
      <c r="B29" s="7" t="s">
        <v>1</v>
      </c>
      <c r="C29" s="8" t="s">
        <v>2</v>
      </c>
      <c r="D29" s="9" t="s">
        <v>4</v>
      </c>
      <c r="E29" s="13"/>
      <c r="F29" s="6"/>
      <c r="G29" s="7" t="s">
        <v>1</v>
      </c>
      <c r="H29" s="8" t="s">
        <v>2</v>
      </c>
      <c r="I29" s="9" t="s">
        <v>4</v>
      </c>
      <c r="J29" s="13"/>
      <c r="K29" s="6"/>
      <c r="L29" s="7" t="s">
        <v>1</v>
      </c>
      <c r="M29" s="8" t="s">
        <v>2</v>
      </c>
      <c r="N29" s="9" t="s">
        <v>4</v>
      </c>
    </row>
    <row r="30" spans="1:17" ht="15.5" x14ac:dyDescent="0.35">
      <c r="A30" s="6" t="s">
        <v>142</v>
      </c>
      <c r="B30" s="28">
        <v>0.129</v>
      </c>
      <c r="C30" s="10">
        <f>D25</f>
        <v>5.2221238938053096</v>
      </c>
      <c r="D30" s="11">
        <f>B30*C30</f>
        <v>0.67365398230088491</v>
      </c>
      <c r="E30" s="13"/>
      <c r="F30" s="6" t="s">
        <v>142</v>
      </c>
      <c r="G30" s="28">
        <v>0.25700000000000001</v>
      </c>
      <c r="H30" s="10">
        <f>D25</f>
        <v>5.2221238938053096</v>
      </c>
      <c r="I30" s="11">
        <f>G30*H30</f>
        <v>1.3420858407079646</v>
      </c>
      <c r="J30" s="13"/>
      <c r="K30" s="6" t="s">
        <v>142</v>
      </c>
      <c r="L30" s="28">
        <v>0.74</v>
      </c>
      <c r="M30" s="10">
        <f>D25</f>
        <v>5.2221238938053096</v>
      </c>
      <c r="N30" s="11">
        <f>L30*M30</f>
        <v>3.8643716814159292</v>
      </c>
    </row>
    <row r="31" spans="1:17" ht="15.5" x14ac:dyDescent="0.35">
      <c r="A31" s="6" t="s">
        <v>62</v>
      </c>
      <c r="B31" s="28">
        <v>1.4999999999999999E-2</v>
      </c>
      <c r="C31" s="10">
        <f>'Ingredient Cost'!D18</f>
        <v>4.75</v>
      </c>
      <c r="D31" s="11">
        <f>B31*C31</f>
        <v>7.1249999999999994E-2</v>
      </c>
      <c r="E31" s="13"/>
      <c r="F31" s="6" t="s">
        <v>62</v>
      </c>
      <c r="G31" s="28">
        <v>0.03</v>
      </c>
      <c r="H31" s="10">
        <f>C31</f>
        <v>4.75</v>
      </c>
      <c r="I31" s="11">
        <f>G31*H31</f>
        <v>0.14249999999999999</v>
      </c>
      <c r="J31" s="13"/>
      <c r="K31" s="6" t="s">
        <v>62</v>
      </c>
      <c r="L31" s="28">
        <v>0.05</v>
      </c>
      <c r="M31" s="10">
        <f>C31</f>
        <v>4.75</v>
      </c>
      <c r="N31" s="11">
        <f>L31*M31</f>
        <v>0.23750000000000002</v>
      </c>
    </row>
    <row r="32" spans="1:17" ht="15.5" x14ac:dyDescent="0.35">
      <c r="A32" s="6" t="s">
        <v>151</v>
      </c>
      <c r="B32" s="28"/>
      <c r="C32" s="10">
        <f>'Pastry Costing'!F30</f>
        <v>0.2107946902228468</v>
      </c>
      <c r="D32" s="11">
        <f>C32</f>
        <v>0.2107946902228468</v>
      </c>
      <c r="E32" s="13"/>
      <c r="F32" s="6" t="s">
        <v>151</v>
      </c>
      <c r="G32" s="28"/>
      <c r="H32" s="10">
        <f>'Pastry Costing'!F31</f>
        <v>0.34141430034129694</v>
      </c>
      <c r="I32" s="11">
        <f>H32</f>
        <v>0.34141430034129694</v>
      </c>
      <c r="J32" s="13"/>
      <c r="K32" s="6" t="s">
        <v>151</v>
      </c>
      <c r="L32" s="28"/>
      <c r="M32" s="10">
        <f>'Pastry Costing'!F32</f>
        <v>0.52407440273037542</v>
      </c>
      <c r="N32" s="11">
        <f>M32</f>
        <v>0.52407440273037542</v>
      </c>
    </row>
    <row r="33" spans="1:14" ht="15.5" x14ac:dyDescent="0.35">
      <c r="A33" s="6" t="s">
        <v>106</v>
      </c>
      <c r="B33" s="28">
        <v>1</v>
      </c>
      <c r="C33" s="10">
        <f>'Ingredient Cost'!D95</f>
        <v>0.09</v>
      </c>
      <c r="D33" s="11">
        <f>B33*C33</f>
        <v>0.09</v>
      </c>
      <c r="E33" s="13"/>
      <c r="F33" s="6" t="s">
        <v>106</v>
      </c>
      <c r="G33" s="28"/>
      <c r="H33" s="10">
        <f>'Ingredient Cost'!D96</f>
        <v>0.12</v>
      </c>
      <c r="I33" s="11">
        <f>H33</f>
        <v>0.12</v>
      </c>
      <c r="J33" s="13"/>
      <c r="K33" s="6" t="s">
        <v>106</v>
      </c>
      <c r="L33" s="28"/>
      <c r="M33" s="10">
        <f>'Ingredient Cost'!D97</f>
        <v>0.2</v>
      </c>
      <c r="N33" s="11">
        <f>M33</f>
        <v>0.2</v>
      </c>
    </row>
    <row r="34" spans="1:14" ht="15.5" x14ac:dyDescent="0.35">
      <c r="A34" s="6" t="s">
        <v>115</v>
      </c>
      <c r="B34" s="28"/>
      <c r="C34" s="10">
        <f>'Ingredient Cost'!C35</f>
        <v>0</v>
      </c>
      <c r="D34" s="10">
        <f>B34*C34</f>
        <v>0</v>
      </c>
      <c r="E34" s="13"/>
      <c r="F34" s="6" t="s">
        <v>115</v>
      </c>
      <c r="G34" s="28"/>
      <c r="H34" s="10">
        <f>'Ingredient Cost'!H35</f>
        <v>0</v>
      </c>
      <c r="I34" s="10">
        <f>G34*H34</f>
        <v>0</v>
      </c>
      <c r="J34" s="13"/>
      <c r="K34" s="6" t="s">
        <v>115</v>
      </c>
      <c r="L34" s="28"/>
      <c r="M34" s="10">
        <f>'Ingredient Cost'!M35</f>
        <v>0</v>
      </c>
      <c r="N34" s="10">
        <f>L34*M34</f>
        <v>0</v>
      </c>
    </row>
    <row r="35" spans="1:14" ht="15.5" x14ac:dyDescent="0.35">
      <c r="A35" s="7" t="s">
        <v>140</v>
      </c>
      <c r="B35" s="28">
        <v>90</v>
      </c>
      <c r="C35" s="10">
        <f>'Steak Pie v2'!C53</f>
        <v>20</v>
      </c>
      <c r="D35" s="10">
        <f>C35/B35</f>
        <v>0.22222222222222221</v>
      </c>
      <c r="E35" s="13"/>
      <c r="F35" s="7" t="s">
        <v>140</v>
      </c>
      <c r="G35" s="28">
        <v>48</v>
      </c>
      <c r="H35" s="10">
        <f>C35</f>
        <v>20</v>
      </c>
      <c r="I35" s="10">
        <f>H35/G35</f>
        <v>0.41666666666666669</v>
      </c>
      <c r="J35" s="13"/>
      <c r="K35" s="7"/>
      <c r="L35" s="28">
        <v>32</v>
      </c>
      <c r="M35" s="10">
        <f>C35</f>
        <v>20</v>
      </c>
      <c r="N35" s="10">
        <f>M35/L35</f>
        <v>0.625</v>
      </c>
    </row>
    <row r="36" spans="1:14" ht="15.5" x14ac:dyDescent="0.35">
      <c r="A36" s="7"/>
      <c r="B36" s="12"/>
      <c r="C36" s="10"/>
      <c r="D36" s="10"/>
      <c r="E36" s="13"/>
      <c r="F36" s="7"/>
      <c r="G36" s="12"/>
      <c r="H36" s="10"/>
      <c r="I36" s="10"/>
      <c r="J36" s="13"/>
      <c r="K36" s="7"/>
      <c r="L36" s="12"/>
      <c r="M36" s="10"/>
      <c r="N36" s="10"/>
    </row>
    <row r="37" spans="1:14" ht="13" x14ac:dyDescent="0.3">
      <c r="A37" s="13"/>
      <c r="B37" s="13"/>
      <c r="C37" s="15"/>
      <c r="D37" s="14"/>
      <c r="E37" s="13"/>
      <c r="F37" s="13"/>
      <c r="G37" s="13"/>
      <c r="H37" s="15"/>
      <c r="I37" s="14"/>
      <c r="J37" s="13"/>
      <c r="K37" s="13"/>
      <c r="L37" s="13"/>
      <c r="M37" s="15"/>
      <c r="N37" s="14"/>
    </row>
    <row r="38" spans="1:14" ht="15.5" x14ac:dyDescent="0.35">
      <c r="A38" s="6" t="s">
        <v>0</v>
      </c>
      <c r="B38" s="13"/>
      <c r="C38" s="15"/>
      <c r="D38" s="19">
        <f>SUM(D30:D35)</f>
        <v>1.2679208947459539</v>
      </c>
      <c r="E38" s="13"/>
      <c r="F38" s="6" t="s">
        <v>0</v>
      </c>
      <c r="G38" s="13"/>
      <c r="H38" s="15"/>
      <c r="I38" s="19">
        <f>SUM(I30:I35)</f>
        <v>2.3626668077159283</v>
      </c>
      <c r="J38" s="13"/>
      <c r="K38" s="6" t="s">
        <v>0</v>
      </c>
      <c r="L38" s="13"/>
      <c r="M38" s="15"/>
      <c r="N38" s="19">
        <f>SUM(N30:N35)</f>
        <v>5.4509460841463051</v>
      </c>
    </row>
    <row r="40" spans="1:14" ht="15.5" x14ac:dyDescent="0.35">
      <c r="A40" s="7"/>
      <c r="B40" s="47"/>
      <c r="C40" s="48"/>
      <c r="D40" s="49"/>
      <c r="F40" s="7"/>
      <c r="G40" s="47"/>
      <c r="H40" s="48"/>
      <c r="I40" s="49"/>
      <c r="K40" s="7"/>
      <c r="L40" s="47"/>
      <c r="M40" s="48"/>
      <c r="N40" s="49"/>
    </row>
    <row r="41" spans="1:14" ht="15.5" x14ac:dyDescent="0.35">
      <c r="A41" s="7" t="s">
        <v>3</v>
      </c>
      <c r="B41" s="47" t="s">
        <v>189</v>
      </c>
      <c r="C41" s="48"/>
      <c r="D41" s="49"/>
      <c r="F41" s="7" t="s">
        <v>3</v>
      </c>
      <c r="G41" s="47" t="s">
        <v>190</v>
      </c>
      <c r="H41" s="48"/>
      <c r="I41" s="49"/>
      <c r="J41" s="13"/>
      <c r="K41" s="6"/>
      <c r="L41" s="3"/>
      <c r="M41" s="4"/>
      <c r="N41" s="18"/>
    </row>
    <row r="42" spans="1:14" ht="15.5" x14ac:dyDescent="0.35">
      <c r="A42" s="6"/>
      <c r="B42" s="7" t="s">
        <v>1</v>
      </c>
      <c r="C42" s="8" t="s">
        <v>2</v>
      </c>
      <c r="D42" s="9" t="s">
        <v>4</v>
      </c>
      <c r="E42" s="13"/>
      <c r="F42" s="6"/>
      <c r="G42" s="7" t="s">
        <v>1</v>
      </c>
      <c r="H42" s="8" t="s">
        <v>2</v>
      </c>
      <c r="I42" s="9" t="s">
        <v>4</v>
      </c>
      <c r="J42" s="13"/>
      <c r="K42" s="6"/>
      <c r="L42" s="5"/>
      <c r="M42" s="4"/>
      <c r="N42" s="18"/>
    </row>
    <row r="43" spans="1:14" ht="15.5" x14ac:dyDescent="0.35">
      <c r="A43" s="6" t="s">
        <v>138</v>
      </c>
      <c r="B43" s="28">
        <v>9</v>
      </c>
      <c r="C43" s="10">
        <f>D38</f>
        <v>1.2679208947459539</v>
      </c>
      <c r="D43" s="11">
        <f>B43*C43</f>
        <v>11.411288052713585</v>
      </c>
      <c r="E43" s="13"/>
      <c r="F43" s="6" t="s">
        <v>138</v>
      </c>
      <c r="G43" s="28">
        <v>6</v>
      </c>
      <c r="H43" s="10">
        <f>I38</f>
        <v>2.3626668077159283</v>
      </c>
      <c r="I43" s="11">
        <f>G43*H43</f>
        <v>14.176000846295569</v>
      </c>
      <c r="J43" s="13"/>
      <c r="K43" s="6"/>
      <c r="L43" s="5"/>
      <c r="M43" s="4"/>
      <c r="N43" s="18"/>
    </row>
    <row r="44" spans="1:14" ht="15.5" x14ac:dyDescent="0.35">
      <c r="A44" s="6" t="s">
        <v>94</v>
      </c>
      <c r="B44" s="28">
        <v>1</v>
      </c>
      <c r="C44" s="10">
        <f>'Ingredient Cost'!D86</f>
        <v>0.12</v>
      </c>
      <c r="D44" s="11">
        <f>B44*C44</f>
        <v>0.12</v>
      </c>
      <c r="E44" s="13"/>
      <c r="F44" s="6" t="s">
        <v>94</v>
      </c>
      <c r="G44" s="28">
        <v>1</v>
      </c>
      <c r="H44" s="10">
        <f>C44</f>
        <v>0.12</v>
      </c>
      <c r="I44" s="11">
        <f>G44*H44</f>
        <v>0.12</v>
      </c>
      <c r="J44" s="13"/>
      <c r="K44" s="6"/>
      <c r="L44" s="7"/>
      <c r="M44" s="8"/>
      <c r="N44" s="9"/>
    </row>
    <row r="45" spans="1:14" ht="15.5" x14ac:dyDescent="0.35">
      <c r="A45" s="6" t="s">
        <v>139</v>
      </c>
      <c r="B45" s="28">
        <v>9</v>
      </c>
      <c r="C45" s="10">
        <f>'Ingredient Cost'!D90</f>
        <v>0.22</v>
      </c>
      <c r="D45" s="10">
        <f>B45*C45</f>
        <v>1.98</v>
      </c>
      <c r="E45" s="13"/>
      <c r="F45" s="6" t="s">
        <v>139</v>
      </c>
      <c r="G45" s="28">
        <v>6</v>
      </c>
      <c r="H45" s="10">
        <v>0.1</v>
      </c>
      <c r="I45" s="10">
        <f>G45*H45</f>
        <v>0.60000000000000009</v>
      </c>
      <c r="J45" s="13"/>
      <c r="K45" s="6"/>
      <c r="L45" s="12"/>
      <c r="M45" s="10"/>
      <c r="N45" s="11"/>
    </row>
    <row r="46" spans="1:14" ht="15.5" x14ac:dyDescent="0.35">
      <c r="A46" s="7" t="s">
        <v>66</v>
      </c>
      <c r="B46" s="28">
        <v>1</v>
      </c>
      <c r="C46" s="10">
        <f>'Ingredient Cost'!D108</f>
        <v>0.2</v>
      </c>
      <c r="D46" s="10">
        <f>B46*C46</f>
        <v>0.2</v>
      </c>
      <c r="E46" s="13"/>
      <c r="F46" s="7" t="s">
        <v>66</v>
      </c>
      <c r="G46" s="28">
        <v>1</v>
      </c>
      <c r="H46" s="10">
        <f>C46</f>
        <v>0.2</v>
      </c>
      <c r="I46" s="10">
        <f>G46*H46</f>
        <v>0.2</v>
      </c>
      <c r="J46" s="13"/>
      <c r="K46" s="6"/>
      <c r="L46" s="12"/>
      <c r="M46" s="10"/>
      <c r="N46" s="11"/>
    </row>
    <row r="47" spans="1:14" ht="15.5" x14ac:dyDescent="0.35">
      <c r="A47" s="7" t="s">
        <v>180</v>
      </c>
      <c r="B47" s="28">
        <v>20</v>
      </c>
      <c r="C47" s="10">
        <f>C35</f>
        <v>20</v>
      </c>
      <c r="D47" s="10">
        <f>C47/B47</f>
        <v>1</v>
      </c>
      <c r="E47" s="13"/>
      <c r="F47" s="7" t="s">
        <v>180</v>
      </c>
      <c r="G47" s="28">
        <v>20</v>
      </c>
      <c r="H47" s="10">
        <f>C35</f>
        <v>20</v>
      </c>
      <c r="I47" s="10">
        <f>H47/G47</f>
        <v>1</v>
      </c>
      <c r="J47" s="13"/>
      <c r="K47" s="6"/>
      <c r="L47" s="12"/>
      <c r="M47" s="10"/>
      <c r="N47" s="10"/>
    </row>
    <row r="48" spans="1:14" ht="15.5" x14ac:dyDescent="0.35">
      <c r="A48" s="7"/>
      <c r="B48" s="28"/>
      <c r="C48" s="10"/>
      <c r="D48" s="10"/>
      <c r="E48" s="13"/>
      <c r="F48" s="7" t="s">
        <v>67</v>
      </c>
      <c r="G48" s="28">
        <v>6</v>
      </c>
      <c r="H48" s="10">
        <f>'Steak Pie v2'!H64</f>
        <v>0.01</v>
      </c>
      <c r="I48" s="10">
        <f>G48*H48</f>
        <v>0.06</v>
      </c>
      <c r="J48" s="13"/>
      <c r="K48" s="7"/>
      <c r="L48" s="12"/>
      <c r="M48" s="10"/>
      <c r="N48" s="10"/>
    </row>
    <row r="49" spans="1:14" ht="15.5" x14ac:dyDescent="0.35">
      <c r="A49" s="7"/>
      <c r="B49" s="28"/>
      <c r="C49" s="10"/>
      <c r="D49" s="10"/>
      <c r="E49" s="13"/>
      <c r="F49" s="7" t="s">
        <v>184</v>
      </c>
      <c r="G49" s="28">
        <v>6</v>
      </c>
      <c r="H49" s="10">
        <v>0.01</v>
      </c>
      <c r="I49" s="10">
        <f>G49*H49</f>
        <v>0.06</v>
      </c>
      <c r="J49" s="13"/>
      <c r="K49" s="7"/>
      <c r="L49" s="12"/>
      <c r="M49" s="10"/>
      <c r="N49" s="10"/>
    </row>
    <row r="50" spans="1:14" ht="15.5" x14ac:dyDescent="0.35">
      <c r="A50" s="7"/>
      <c r="B50" s="12"/>
      <c r="C50" s="10"/>
      <c r="D50" s="10"/>
      <c r="E50" s="13"/>
      <c r="F50" s="7"/>
      <c r="G50" s="12"/>
      <c r="H50" s="10"/>
      <c r="I50" s="10"/>
      <c r="J50" s="13"/>
      <c r="K50" s="6"/>
      <c r="L50" s="12"/>
      <c r="M50" s="10"/>
      <c r="N50" s="10"/>
    </row>
    <row r="51" spans="1:14" ht="13" x14ac:dyDescent="0.3">
      <c r="A51" s="13"/>
      <c r="B51" s="13"/>
      <c r="C51" s="15"/>
      <c r="D51" s="14"/>
      <c r="E51" s="13"/>
      <c r="F51" s="13"/>
      <c r="G51" s="13"/>
      <c r="H51" s="15"/>
      <c r="I51" s="14"/>
      <c r="J51" s="13"/>
      <c r="K51" s="13"/>
      <c r="L51" s="13"/>
      <c r="M51" s="15"/>
      <c r="N51" s="14"/>
    </row>
    <row r="52" spans="1:14" ht="15.5" x14ac:dyDescent="0.35">
      <c r="A52" s="6" t="s">
        <v>0</v>
      </c>
      <c r="B52" s="13"/>
      <c r="C52" s="15"/>
      <c r="D52" s="19">
        <f>D43+D44+D45+D46+D47</f>
        <v>14.711288052713584</v>
      </c>
      <c r="E52" s="13"/>
      <c r="F52" s="6" t="s">
        <v>0</v>
      </c>
      <c r="G52" s="13"/>
      <c r="H52" s="15"/>
      <c r="I52" s="19">
        <f>I43+I44+I45+I46+I47+I48+I49</f>
        <v>16.216000846295564</v>
      </c>
      <c r="J52" s="13"/>
      <c r="K52" s="6"/>
      <c r="L52" s="13"/>
      <c r="M52" s="15"/>
      <c r="N52" s="86"/>
    </row>
    <row r="53" spans="1:14" ht="15.5" x14ac:dyDescent="0.35">
      <c r="A53" s="7" t="s">
        <v>182</v>
      </c>
      <c r="D53" s="74">
        <f>D52/9</f>
        <v>1.6345875614126204</v>
      </c>
      <c r="F53" s="7" t="s">
        <v>182</v>
      </c>
      <c r="I53" s="74">
        <f>I52/6</f>
        <v>2.7026668077159273</v>
      </c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4D17-6E7A-44B6-8EF2-C735A18043BC}">
  <sheetPr>
    <tabColor rgb="FF92D050"/>
  </sheetPr>
  <dimension ref="A1:Q85"/>
  <sheetViews>
    <sheetView showGridLines="0" topLeftCell="A51" workbookViewId="0">
      <selection activeCell="D66" sqref="D66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126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120</v>
      </c>
      <c r="B20" s="28">
        <v>3</v>
      </c>
      <c r="C20" s="10">
        <f>'Ingredient Cost'!$D$59</f>
        <v>8.5</v>
      </c>
      <c r="D20" s="157">
        <f>B20*C20</f>
        <v>25.5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121</v>
      </c>
      <c r="B21" s="28">
        <v>2.2000000000000002</v>
      </c>
      <c r="C21" s="10">
        <v>0</v>
      </c>
      <c r="D21" s="157">
        <f>B21*C21</f>
        <v>0</v>
      </c>
      <c r="E21" s="158"/>
      <c r="F21" s="7" t="s">
        <v>13</v>
      </c>
      <c r="G21" s="28">
        <v>4</v>
      </c>
      <c r="H21" s="10">
        <f>'Ingredient Cost'!$D$6</f>
        <v>2.06</v>
      </c>
      <c r="I21" s="157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178</v>
      </c>
      <c r="B22" s="28">
        <v>0.45</v>
      </c>
      <c r="C22" s="10">
        <f>'Ingredient Cost'!$D$21</f>
        <v>8.9</v>
      </c>
      <c r="D22" s="157">
        <f>B22*C22</f>
        <v>4.0049999999999999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 t="s">
        <v>4</v>
      </c>
      <c r="B23" s="154">
        <f>SUM(B20:B22)</f>
        <v>5.65</v>
      </c>
      <c r="C23" s="155"/>
      <c r="D23" s="187">
        <f ca="1">SUM(D20:D23)</f>
        <v>31.494999999999997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E24" s="13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453</v>
      </c>
      <c r="B26" s="13"/>
      <c r="C26" s="15"/>
      <c r="D26" s="195">
        <f>31.5/5.65</f>
        <v>5.5752212389380524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7" t="s">
        <v>199</v>
      </c>
      <c r="B32" s="28">
        <v>0.129</v>
      </c>
      <c r="C32" s="10">
        <f>$D$26</f>
        <v>5.5752212389380524</v>
      </c>
      <c r="D32" s="157">
        <f>B32*C32</f>
        <v>0.71920353982300878</v>
      </c>
      <c r="E32" s="158"/>
      <c r="F32" s="7" t="s">
        <v>199</v>
      </c>
      <c r="G32" s="28">
        <v>0.25700000000000001</v>
      </c>
      <c r="H32" s="10">
        <f>$D$26</f>
        <v>5.5752212389380524</v>
      </c>
      <c r="I32" s="157">
        <f>G32*H32</f>
        <v>1.4328318584070796</v>
      </c>
      <c r="J32" s="158"/>
      <c r="K32" s="7" t="s">
        <v>199</v>
      </c>
      <c r="L32" s="28">
        <v>0.74</v>
      </c>
      <c r="M32" s="10">
        <f>$D$26</f>
        <v>5.5752212389380524</v>
      </c>
      <c r="N32" s="10">
        <f>L32*M32</f>
        <v>4.1256637168141586</v>
      </c>
    </row>
    <row r="33" spans="1:14" ht="15.5" x14ac:dyDescent="0.35">
      <c r="A33" s="7" t="s">
        <v>62</v>
      </c>
      <c r="B33" s="28">
        <v>1.4999999999999999E-2</v>
      </c>
      <c r="C33" s="10">
        <f>'Ingredient Cost'!D18</f>
        <v>4.75</v>
      </c>
      <c r="D33" s="157">
        <f>B33*C33</f>
        <v>7.1249999999999994E-2</v>
      </c>
      <c r="E33" s="158"/>
      <c r="F33" s="7" t="s">
        <v>468</v>
      </c>
      <c r="G33" s="28">
        <v>1.4999999999999999E-2</v>
      </c>
      <c r="H33" s="10">
        <f>'Ingredient Cost'!D18</f>
        <v>4.75</v>
      </c>
      <c r="I33" s="157">
        <f>G33*H33</f>
        <v>7.1249999999999994E-2</v>
      </c>
      <c r="J33" s="158"/>
      <c r="K33" s="7" t="s">
        <v>62</v>
      </c>
      <c r="L33" s="28">
        <v>1.4999999999999999E-2</v>
      </c>
      <c r="M33" s="10">
        <f>'Ingredient Cost'!D18</f>
        <v>4.75</v>
      </c>
      <c r="N33" s="10">
        <f>L33*M33</f>
        <v>7.1249999999999994E-2</v>
      </c>
    </row>
    <row r="34" spans="1:14" ht="15.5" x14ac:dyDescent="0.35">
      <c r="A34" s="7" t="s">
        <v>152</v>
      </c>
      <c r="B34" s="28">
        <v>1</v>
      </c>
      <c r="C34" s="10">
        <f>'Pastry Costing'!$F$30</f>
        <v>0.2107946902228468</v>
      </c>
      <c r="D34" s="157">
        <f>C34</f>
        <v>0.2107946902228468</v>
      </c>
      <c r="E34" s="158"/>
      <c r="F34" s="171" t="s">
        <v>152</v>
      </c>
      <c r="G34" s="170">
        <v>1</v>
      </c>
      <c r="H34" s="10">
        <f>'Pastry Costing'!$F$31</f>
        <v>0.34141430034129694</v>
      </c>
      <c r="I34" s="157">
        <f>H34</f>
        <v>0.34141430034129694</v>
      </c>
      <c r="J34" s="158"/>
      <c r="K34" s="171" t="s">
        <v>152</v>
      </c>
      <c r="L34" s="170">
        <v>1</v>
      </c>
      <c r="M34" s="10">
        <f>'Pastry Costing'!$F$32</f>
        <v>0.52407440273037542</v>
      </c>
      <c r="N34" s="10">
        <f>M34</f>
        <v>0.52407440273037542</v>
      </c>
    </row>
    <row r="35" spans="1:14" ht="15.5" x14ac:dyDescent="0.35">
      <c r="A35" s="7" t="s">
        <v>115</v>
      </c>
      <c r="B35" s="28">
        <v>1</v>
      </c>
      <c r="C35" s="10">
        <f>'Ingredient Cost'!$D$11</f>
        <v>0.02</v>
      </c>
      <c r="D35" s="157">
        <f>B35*C35</f>
        <v>0.02</v>
      </c>
      <c r="E35" s="158"/>
      <c r="F35" s="7" t="s">
        <v>115</v>
      </c>
      <c r="G35" s="28">
        <v>1</v>
      </c>
      <c r="H35" s="10">
        <f>'Ingredient Cost'!$D$11</f>
        <v>0.02</v>
      </c>
      <c r="I35" s="157">
        <f>H35</f>
        <v>0.02</v>
      </c>
      <c r="J35" s="158"/>
      <c r="K35" s="7" t="s">
        <v>115</v>
      </c>
      <c r="L35" s="28">
        <v>1</v>
      </c>
      <c r="M35" s="10">
        <f>'Ingredient Cost'!$D$11</f>
        <v>0.02</v>
      </c>
      <c r="N35" s="10">
        <f>L35*M35</f>
        <v>0.02</v>
      </c>
    </row>
    <row r="36" spans="1:14" ht="15.5" x14ac:dyDescent="0.35">
      <c r="A36" s="7" t="s">
        <v>0</v>
      </c>
      <c r="B36" s="13"/>
      <c r="C36" s="15"/>
      <c r="D36" s="74">
        <f>SUM(D32:D35)</f>
        <v>1.0212482300458556</v>
      </c>
      <c r="E36" s="13"/>
      <c r="F36" s="7" t="s">
        <v>0</v>
      </c>
      <c r="G36" s="13"/>
      <c r="H36" s="15"/>
      <c r="I36" s="74">
        <f>SUM(I32:I35)</f>
        <v>1.8654961587483765</v>
      </c>
      <c r="J36" s="13"/>
      <c r="K36" s="7" t="s">
        <v>0</v>
      </c>
      <c r="L36" s="13"/>
      <c r="M36" s="15"/>
      <c r="N36" s="74">
        <f>SUM(N32:N35)</f>
        <v>4.740988119544534</v>
      </c>
    </row>
    <row r="37" spans="1:14" ht="15.5" x14ac:dyDescent="0.35">
      <c r="A37" s="7"/>
      <c r="B37" s="13"/>
      <c r="C37" s="15"/>
      <c r="D37" s="74"/>
      <c r="E37" s="13"/>
      <c r="F37" s="7"/>
      <c r="G37" s="13"/>
      <c r="H37" s="15"/>
      <c r="I37" s="74"/>
      <c r="J37" s="13"/>
      <c r="K37" s="7"/>
      <c r="L37" s="13"/>
      <c r="M37" s="15"/>
      <c r="N37" s="74"/>
    </row>
    <row r="38" spans="1:14" ht="15.5" x14ac:dyDescent="0.35">
      <c r="A38" s="164" t="s">
        <v>460</v>
      </c>
      <c r="B38" s="166"/>
      <c r="C38" s="167"/>
      <c r="D38" s="188"/>
      <c r="E38" s="166"/>
      <c r="F38" s="164"/>
      <c r="G38" s="166"/>
      <c r="H38" s="167"/>
      <c r="I38" s="188"/>
      <c r="J38" s="166"/>
      <c r="K38" s="164"/>
      <c r="L38" s="166"/>
      <c r="M38" s="167"/>
      <c r="N38" s="188"/>
    </row>
    <row r="39" spans="1:14" ht="15.5" x14ac:dyDescent="0.35">
      <c r="A39" s="7"/>
      <c r="B39" s="13"/>
      <c r="C39" s="15"/>
      <c r="D39" s="74"/>
      <c r="E39" s="13"/>
      <c r="F39" s="7"/>
      <c r="G39" s="13"/>
      <c r="H39" s="15"/>
      <c r="I39" s="74"/>
      <c r="J39" s="13"/>
      <c r="K39" s="7"/>
      <c r="L39" s="13"/>
      <c r="M39" s="15"/>
      <c r="N39" s="74"/>
    </row>
    <row r="40" spans="1:14" ht="15.5" x14ac:dyDescent="0.35">
      <c r="A40" s="159" t="s">
        <v>459</v>
      </c>
      <c r="B40" s="160"/>
      <c r="C40" s="161"/>
      <c r="D40" s="162"/>
      <c r="F40" s="159" t="s">
        <v>42</v>
      </c>
      <c r="G40" s="159"/>
      <c r="H40" s="161"/>
      <c r="I40" s="162"/>
      <c r="K40" s="159" t="s">
        <v>43</v>
      </c>
      <c r="L40" s="160"/>
      <c r="M40" s="161"/>
      <c r="N40" s="162"/>
    </row>
    <row r="41" spans="1:14" ht="15.5" x14ac:dyDescent="0.35">
      <c r="A41" s="6"/>
      <c r="B41" s="7" t="s">
        <v>1</v>
      </c>
      <c r="C41" s="8" t="s">
        <v>2</v>
      </c>
      <c r="D41" s="8" t="s">
        <v>4</v>
      </c>
      <c r="E41" s="13"/>
      <c r="F41" s="7"/>
      <c r="G41" s="7" t="s">
        <v>1</v>
      </c>
      <c r="H41" s="8" t="s">
        <v>2</v>
      </c>
      <c r="I41" s="8" t="s">
        <v>4</v>
      </c>
      <c r="J41" s="13"/>
      <c r="K41" s="7"/>
      <c r="L41" s="7" t="s">
        <v>1</v>
      </c>
      <c r="M41" s="8" t="s">
        <v>2</v>
      </c>
      <c r="N41" s="8" t="s">
        <v>4</v>
      </c>
    </row>
    <row r="42" spans="1:14" ht="15.5" x14ac:dyDescent="0.35">
      <c r="A42" s="171" t="s">
        <v>449</v>
      </c>
      <c r="B42" s="170">
        <v>1</v>
      </c>
      <c r="C42" s="10">
        <f>$D$36</f>
        <v>1.0212482300458556</v>
      </c>
      <c r="D42" s="157">
        <f>B42*C42</f>
        <v>1.0212482300458556</v>
      </c>
      <c r="E42" s="158"/>
      <c r="F42" s="171" t="s">
        <v>449</v>
      </c>
      <c r="G42" s="170">
        <v>1</v>
      </c>
      <c r="H42" s="10">
        <f>$I$36</f>
        <v>1.8654961587483765</v>
      </c>
      <c r="I42" s="157">
        <f>G42*H42</f>
        <v>1.8654961587483765</v>
      </c>
      <c r="J42" s="158"/>
      <c r="K42" s="171" t="s">
        <v>449</v>
      </c>
      <c r="L42" s="170">
        <v>1</v>
      </c>
      <c r="M42" s="10">
        <f>$N$36</f>
        <v>4.740988119544534</v>
      </c>
      <c r="N42" s="10">
        <f>L42*M42</f>
        <v>4.740988119544534</v>
      </c>
    </row>
    <row r="43" spans="1:14" ht="15.5" x14ac:dyDescent="0.35">
      <c r="A43" s="7" t="s">
        <v>106</v>
      </c>
      <c r="B43" s="28">
        <v>1</v>
      </c>
      <c r="C43" s="10">
        <f>'Ingredient Cost'!$D$95</f>
        <v>0.09</v>
      </c>
      <c r="D43" s="10">
        <f>B43*C43</f>
        <v>0.09</v>
      </c>
      <c r="E43" s="13"/>
      <c r="F43" s="7" t="s">
        <v>106</v>
      </c>
      <c r="G43" s="28">
        <v>1</v>
      </c>
      <c r="H43" s="10">
        <f>'Ingredient Cost'!$D$83</f>
        <v>7.0000000000000007E-2</v>
      </c>
      <c r="I43" s="157">
        <f>G43*H43</f>
        <v>7.0000000000000007E-2</v>
      </c>
      <c r="J43" s="158"/>
      <c r="K43" s="7" t="s">
        <v>106</v>
      </c>
      <c r="L43" s="28">
        <v>1</v>
      </c>
      <c r="M43" s="10">
        <f>'Ingredient Cost'!$D$83</f>
        <v>7.0000000000000007E-2</v>
      </c>
      <c r="N43" s="10">
        <f>L43*M43</f>
        <v>7.0000000000000007E-2</v>
      </c>
    </row>
    <row r="44" spans="1:14" ht="15.5" x14ac:dyDescent="0.35">
      <c r="A44" s="7" t="s">
        <v>139</v>
      </c>
      <c r="B44" s="28">
        <v>1</v>
      </c>
      <c r="C44" s="10">
        <f>'Ingredient Cost'!$D$89</f>
        <v>0.06</v>
      </c>
      <c r="D44" s="10">
        <f>B44*C44</f>
        <v>0.06</v>
      </c>
      <c r="E44" s="13"/>
      <c r="F44" s="7" t="s">
        <v>139</v>
      </c>
      <c r="G44" s="28">
        <v>1</v>
      </c>
      <c r="H44" s="10">
        <v>0.22</v>
      </c>
      <c r="I44" s="157">
        <f>H44*G44</f>
        <v>0.22</v>
      </c>
      <c r="J44" s="158"/>
      <c r="K44" s="7" t="s">
        <v>139</v>
      </c>
      <c r="L44" s="28">
        <v>1</v>
      </c>
      <c r="M44" s="10">
        <v>0.3</v>
      </c>
      <c r="N44" s="10">
        <v>0.3</v>
      </c>
    </row>
    <row r="45" spans="1:14" ht="15.5" x14ac:dyDescent="0.35">
      <c r="F45" s="7" t="s">
        <v>67</v>
      </c>
      <c r="G45" s="28">
        <v>1</v>
      </c>
      <c r="H45" s="10">
        <v>0.15</v>
      </c>
      <c r="I45" s="10">
        <v>0.15</v>
      </c>
      <c r="K45" s="7" t="s">
        <v>67</v>
      </c>
      <c r="L45" s="28">
        <v>1</v>
      </c>
      <c r="M45" s="10">
        <v>0.15</v>
      </c>
      <c r="N45" s="10">
        <v>0.15</v>
      </c>
    </row>
    <row r="46" spans="1:14" ht="15.5" x14ac:dyDescent="0.35">
      <c r="A46" s="6" t="s">
        <v>0</v>
      </c>
      <c r="B46" s="13"/>
      <c r="C46" s="15"/>
      <c r="D46" s="74">
        <f>SUM(D42:D44)</f>
        <v>1.1712482300458558</v>
      </c>
      <c r="E46" s="13"/>
      <c r="F46" s="7" t="s">
        <v>0</v>
      </c>
      <c r="G46" s="13"/>
      <c r="H46" s="15"/>
      <c r="I46" s="74">
        <f>SUM(I42:I45)</f>
        <v>2.3054961587483764</v>
      </c>
      <c r="J46" s="13"/>
      <c r="K46" s="7" t="s">
        <v>0</v>
      </c>
      <c r="L46" s="13"/>
      <c r="M46" s="15"/>
      <c r="N46" s="74">
        <f>SUM(N42:N45)</f>
        <v>5.2609881195445345</v>
      </c>
    </row>
    <row r="47" spans="1:14" ht="15.5" x14ac:dyDescent="0.35">
      <c r="A47" s="7"/>
      <c r="B47" s="13"/>
      <c r="C47" s="15"/>
      <c r="D47" s="74"/>
      <c r="E47" s="13"/>
      <c r="F47" s="7"/>
      <c r="G47" s="13"/>
      <c r="H47" s="15"/>
      <c r="I47" s="74"/>
      <c r="J47" s="13"/>
      <c r="K47" s="7"/>
      <c r="L47" s="13"/>
      <c r="M47" s="15"/>
      <c r="N47" s="74"/>
    </row>
    <row r="49" spans="1:17" ht="15.5" x14ac:dyDescent="0.35">
      <c r="A49" s="164" t="s">
        <v>461</v>
      </c>
      <c r="B49" s="165"/>
      <c r="C49" s="167"/>
      <c r="D49" s="189" t="s">
        <v>462</v>
      </c>
      <c r="E49" s="164" t="s">
        <v>456</v>
      </c>
      <c r="F49" s="164"/>
      <c r="G49" s="166"/>
      <c r="H49" s="167"/>
      <c r="I49" s="168"/>
      <c r="J49" s="166"/>
      <c r="K49" s="169"/>
      <c r="L49" s="169"/>
      <c r="M49" s="166"/>
      <c r="N49" s="166"/>
      <c r="O49" s="13"/>
      <c r="P49" s="13"/>
      <c r="Q49" s="13"/>
    </row>
    <row r="50" spans="1:17" ht="15.5" x14ac:dyDescent="0.35">
      <c r="A50" s="7"/>
      <c r="B50" s="13"/>
      <c r="C50" s="15"/>
      <c r="D50" s="20"/>
      <c r="E50" s="13"/>
      <c r="F50" s="22"/>
      <c r="G50" s="22"/>
      <c r="H50" s="22"/>
      <c r="I50" s="22"/>
      <c r="J50" s="22"/>
      <c r="K50" s="22"/>
      <c r="L50" s="22"/>
      <c r="M50" s="13"/>
      <c r="N50" s="13"/>
      <c r="O50" s="13"/>
      <c r="P50" s="13"/>
      <c r="Q50" s="13"/>
    </row>
    <row r="51" spans="1:17" ht="15.5" x14ac:dyDescent="0.35">
      <c r="A51" s="159" t="s">
        <v>166</v>
      </c>
      <c r="B51" s="160"/>
      <c r="C51" s="161"/>
      <c r="D51" s="162"/>
      <c r="F51" s="159" t="s">
        <v>42</v>
      </c>
      <c r="G51" s="159"/>
      <c r="H51" s="161"/>
      <c r="I51" s="162"/>
      <c r="K51" s="159" t="s">
        <v>43</v>
      </c>
      <c r="L51" s="160"/>
      <c r="M51" s="161"/>
      <c r="N51" s="162"/>
    </row>
    <row r="52" spans="1:17" ht="15.5" x14ac:dyDescent="0.35">
      <c r="A52" s="6"/>
      <c r="B52" s="7" t="s">
        <v>1</v>
      </c>
      <c r="C52" s="8" t="s">
        <v>2</v>
      </c>
      <c r="D52" s="8" t="s">
        <v>4</v>
      </c>
      <c r="E52" s="13"/>
      <c r="F52" s="7"/>
      <c r="G52" s="7" t="s">
        <v>1</v>
      </c>
      <c r="H52" s="8" t="s">
        <v>2</v>
      </c>
      <c r="I52" s="8" t="s">
        <v>4</v>
      </c>
      <c r="J52" s="13"/>
      <c r="K52" s="7"/>
      <c r="L52" s="7" t="s">
        <v>1</v>
      </c>
      <c r="M52" s="8" t="s">
        <v>2</v>
      </c>
      <c r="N52" s="8" t="s">
        <v>4</v>
      </c>
    </row>
    <row r="53" spans="1:17" ht="15.5" x14ac:dyDescent="0.35">
      <c r="A53" s="171" t="s">
        <v>463</v>
      </c>
      <c r="B53" s="170">
        <v>1</v>
      </c>
      <c r="C53" s="10">
        <f>$D$46</f>
        <v>1.1712482300458558</v>
      </c>
      <c r="D53" s="157">
        <f>B53*C53</f>
        <v>1.1712482300458558</v>
      </c>
      <c r="E53" s="158"/>
      <c r="F53" s="171" t="s">
        <v>463</v>
      </c>
      <c r="G53" s="170">
        <v>1</v>
      </c>
      <c r="H53" s="10">
        <f>$I$46</f>
        <v>2.3054961587483764</v>
      </c>
      <c r="I53" s="157">
        <f>G53*H53</f>
        <v>2.3054961587483764</v>
      </c>
      <c r="J53" s="158"/>
      <c r="K53" s="171" t="s">
        <v>463</v>
      </c>
      <c r="L53" s="170">
        <v>1</v>
      </c>
      <c r="M53" s="10">
        <f>$N$46</f>
        <v>5.2609881195445345</v>
      </c>
      <c r="N53" s="10">
        <f>L53*M53</f>
        <v>5.2609881195445345</v>
      </c>
    </row>
    <row r="54" spans="1:17" ht="15.5" x14ac:dyDescent="0.35">
      <c r="A54" s="7" t="s">
        <v>180</v>
      </c>
      <c r="B54" s="28">
        <v>60</v>
      </c>
      <c r="C54" s="10">
        <f>'Ingredient Cost'!$B$113</f>
        <v>20</v>
      </c>
      <c r="D54" s="10">
        <f>C54/B54</f>
        <v>0.33333333333333331</v>
      </c>
      <c r="E54" s="13"/>
      <c r="F54" s="7" t="s">
        <v>140</v>
      </c>
      <c r="G54" s="28">
        <v>48</v>
      </c>
      <c r="H54" s="10">
        <f>'Ingredient Cost'!$B$113</f>
        <v>20</v>
      </c>
      <c r="I54" s="157">
        <f>H54/G54</f>
        <v>0.41666666666666669</v>
      </c>
      <c r="J54" s="158"/>
      <c r="K54" s="7" t="s">
        <v>140</v>
      </c>
      <c r="L54" s="28">
        <v>50</v>
      </c>
      <c r="M54" s="10">
        <f>'Ingredient Cost'!$B$113</f>
        <v>20</v>
      </c>
      <c r="N54" s="10">
        <f>M54/L54</f>
        <v>0.4</v>
      </c>
    </row>
    <row r="55" spans="1:17" ht="15.5" x14ac:dyDescent="0.35">
      <c r="A55" s="6" t="s">
        <v>0</v>
      </c>
      <c r="B55" s="13"/>
      <c r="C55" s="15"/>
      <c r="D55" s="74">
        <f>SUM(D53:D54)</f>
        <v>1.504581563379189</v>
      </c>
      <c r="E55" s="13"/>
      <c r="F55" s="7" t="s">
        <v>0</v>
      </c>
      <c r="G55" s="13"/>
      <c r="H55" s="15"/>
      <c r="I55" s="74">
        <f>SUM(I53:I54)</f>
        <v>2.722162825415043</v>
      </c>
      <c r="J55" s="13"/>
      <c r="K55" s="7" t="s">
        <v>0</v>
      </c>
      <c r="L55" s="13"/>
      <c r="M55" s="15"/>
      <c r="N55" s="74">
        <f>SUM(N53:N54)</f>
        <v>5.6609881195445348</v>
      </c>
    </row>
    <row r="56" spans="1:17" ht="15.5" x14ac:dyDescent="0.35">
      <c r="A56" s="7"/>
      <c r="B56" s="13"/>
      <c r="C56" s="15"/>
      <c r="D56" s="74"/>
      <c r="E56" s="13"/>
      <c r="F56" s="7"/>
      <c r="G56" s="13"/>
      <c r="H56" s="15"/>
      <c r="I56" s="74"/>
      <c r="J56" s="13"/>
      <c r="K56" s="7"/>
      <c r="L56" s="13"/>
      <c r="M56" s="15"/>
      <c r="N56" s="74"/>
    </row>
    <row r="57" spans="1:17" ht="15.5" x14ac:dyDescent="0.35">
      <c r="A57" s="7"/>
      <c r="B57" s="74" t="s">
        <v>467</v>
      </c>
      <c r="C57" s="163"/>
      <c r="D57" s="191">
        <f>D$54/D$53</f>
        <v>0.28459665917299437</v>
      </c>
      <c r="E57" s="13"/>
      <c r="F57" s="7"/>
      <c r="G57" s="74" t="s">
        <v>467</v>
      </c>
      <c r="H57" s="74"/>
      <c r="I57" s="191">
        <f>I$54/I$53</f>
        <v>0.1807275475543926</v>
      </c>
      <c r="J57" s="13"/>
      <c r="K57" s="7"/>
      <c r="L57" s="74" t="s">
        <v>467</v>
      </c>
      <c r="M57" s="163"/>
      <c r="N57" s="191">
        <f>N$54/N$53</f>
        <v>7.6031344475765456E-2</v>
      </c>
    </row>
    <row r="58" spans="1:17" ht="15.5" x14ac:dyDescent="0.35">
      <c r="A58" s="164" t="s">
        <v>448</v>
      </c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60" spans="1:17" ht="15.5" x14ac:dyDescent="0.35">
      <c r="A60" s="190" t="s">
        <v>466</v>
      </c>
      <c r="B60" s="159"/>
      <c r="C60" s="161"/>
      <c r="D60" s="162"/>
      <c r="F60" s="190" t="s">
        <v>465</v>
      </c>
      <c r="G60" s="159"/>
      <c r="H60" s="161"/>
      <c r="I60" s="162"/>
      <c r="K60" s="7"/>
      <c r="L60" s="47"/>
      <c r="M60" s="48"/>
      <c r="N60" s="49"/>
    </row>
    <row r="61" spans="1:17" ht="15.5" x14ac:dyDescent="0.35">
      <c r="A61" s="7"/>
      <c r="B61" s="7" t="s">
        <v>1</v>
      </c>
      <c r="C61" s="8" t="s">
        <v>2</v>
      </c>
      <c r="D61" s="8" t="s">
        <v>4</v>
      </c>
      <c r="E61" s="13"/>
      <c r="F61" s="7"/>
      <c r="G61" s="7" t="s">
        <v>1</v>
      </c>
      <c r="H61" s="8" t="s">
        <v>2</v>
      </c>
      <c r="I61" s="8" t="s">
        <v>4</v>
      </c>
      <c r="J61" s="13"/>
      <c r="K61" s="7"/>
      <c r="L61" s="7"/>
      <c r="M61" s="8"/>
      <c r="N61" s="8"/>
    </row>
    <row r="62" spans="1:17" ht="15.5" x14ac:dyDescent="0.35">
      <c r="A62" s="7" t="s">
        <v>454</v>
      </c>
      <c r="B62" s="28">
        <v>9</v>
      </c>
      <c r="C62" s="10">
        <f>D55</f>
        <v>1.504581563379189</v>
      </c>
      <c r="D62" s="10">
        <f>B62*C62</f>
        <v>13.541234070412701</v>
      </c>
      <c r="E62" s="13"/>
      <c r="F62" s="7" t="s">
        <v>454</v>
      </c>
      <c r="G62" s="28">
        <v>4</v>
      </c>
      <c r="H62" s="10">
        <f>I55</f>
        <v>2.722162825415043</v>
      </c>
      <c r="I62" s="10">
        <f>G62*H62</f>
        <v>10.888651301660172</v>
      </c>
      <c r="J62" s="13"/>
      <c r="K62" s="7"/>
      <c r="L62" s="13"/>
      <c r="M62" s="15"/>
      <c r="N62" s="74"/>
    </row>
    <row r="63" spans="1:17" ht="15.5" x14ac:dyDescent="0.35">
      <c r="A63" s="7" t="s">
        <v>464</v>
      </c>
      <c r="B63" s="28">
        <v>1</v>
      </c>
      <c r="C63" s="10">
        <f>'Ingredient Cost'!D108</f>
        <v>0.2</v>
      </c>
      <c r="D63" s="10">
        <f>B63*C63</f>
        <v>0.2</v>
      </c>
      <c r="E63" s="13"/>
      <c r="F63" s="7" t="s">
        <v>464</v>
      </c>
      <c r="G63" s="28">
        <v>1</v>
      </c>
      <c r="H63" s="10">
        <f>C63</f>
        <v>0.2</v>
      </c>
      <c r="I63" s="10">
        <f>G63*H63</f>
        <v>0.2</v>
      </c>
      <c r="J63" s="13"/>
      <c r="K63" s="7"/>
      <c r="L63" s="13"/>
      <c r="M63" s="15"/>
      <c r="N63" s="15"/>
    </row>
    <row r="64" spans="1:17" ht="15.5" x14ac:dyDescent="0.35">
      <c r="A64" s="7" t="s">
        <v>180</v>
      </c>
      <c r="B64" s="28">
        <v>180</v>
      </c>
      <c r="C64" s="10">
        <f>C54</f>
        <v>20</v>
      </c>
      <c r="D64" s="10">
        <f>C64/B64</f>
        <v>0.1111111111111111</v>
      </c>
      <c r="E64" s="13"/>
      <c r="F64" s="7" t="s">
        <v>180</v>
      </c>
      <c r="G64" s="28">
        <v>180</v>
      </c>
      <c r="H64" s="10">
        <f>C54</f>
        <v>20</v>
      </c>
      <c r="I64" s="10">
        <f>H64/G64</f>
        <v>0.1111111111111111</v>
      </c>
      <c r="J64" s="13"/>
      <c r="K64" s="7"/>
      <c r="L64" s="13"/>
      <c r="M64" s="15"/>
      <c r="N64" s="15"/>
    </row>
    <row r="65" spans="1:14" ht="15.5" x14ac:dyDescent="0.35">
      <c r="A65" s="7" t="s">
        <v>184</v>
      </c>
      <c r="B65" s="28">
        <v>1</v>
      </c>
      <c r="C65" s="10">
        <v>0.01</v>
      </c>
      <c r="D65" s="10">
        <f>B65*C65</f>
        <v>0.01</v>
      </c>
      <c r="E65" s="13"/>
      <c r="F65" s="7" t="s">
        <v>184</v>
      </c>
      <c r="G65" s="28">
        <v>1</v>
      </c>
      <c r="H65" s="10">
        <v>0.01</v>
      </c>
      <c r="I65" s="10">
        <f>G65*H65</f>
        <v>0.01</v>
      </c>
      <c r="J65" s="13"/>
      <c r="K65" s="7"/>
      <c r="L65" s="13"/>
      <c r="M65" s="15"/>
      <c r="N65" s="15"/>
    </row>
    <row r="66" spans="1:14" ht="15.5" x14ac:dyDescent="0.35">
      <c r="A66" s="7" t="s">
        <v>0</v>
      </c>
      <c r="B66" s="13"/>
      <c r="C66" s="15"/>
      <c r="D66" s="74">
        <f>SUM(D62:D65)</f>
        <v>13.862345181523811</v>
      </c>
      <c r="E66" s="13"/>
      <c r="F66" s="7" t="s">
        <v>0</v>
      </c>
      <c r="G66" s="13"/>
      <c r="H66" s="15"/>
      <c r="I66" s="74">
        <f>SUM(I62:I65)</f>
        <v>11.209762412771282</v>
      </c>
      <c r="J66" s="13"/>
      <c r="K66" s="7"/>
      <c r="L66" s="13"/>
      <c r="M66" s="15"/>
      <c r="N66" s="82"/>
    </row>
    <row r="67" spans="1:14" ht="15.5" x14ac:dyDescent="0.35">
      <c r="A67" s="7" t="s">
        <v>182</v>
      </c>
      <c r="D67" s="74">
        <f>D66/9</f>
        <v>1.5402605757248677</v>
      </c>
      <c r="F67" s="7" t="s">
        <v>182</v>
      </c>
      <c r="I67" s="74">
        <f>I66/4</f>
        <v>2.8024406031928204</v>
      </c>
    </row>
    <row r="68" spans="1:14" ht="15.5" x14ac:dyDescent="0.35">
      <c r="A68" s="7"/>
      <c r="D68" s="74"/>
      <c r="F68" s="7"/>
      <c r="I68" s="74"/>
    </row>
    <row r="69" spans="1:14" ht="15.5" x14ac:dyDescent="0.35">
      <c r="A69" s="190" t="s">
        <v>475</v>
      </c>
      <c r="B69" s="159"/>
      <c r="C69" s="161"/>
      <c r="D69" s="162"/>
      <c r="F69" s="7"/>
      <c r="I69" s="74"/>
    </row>
    <row r="70" spans="1:14" ht="15.5" x14ac:dyDescent="0.35">
      <c r="A70" s="7"/>
      <c r="B70" s="7" t="s">
        <v>1</v>
      </c>
      <c r="C70" s="8" t="s">
        <v>2</v>
      </c>
      <c r="D70" s="8" t="s">
        <v>4</v>
      </c>
    </row>
    <row r="71" spans="1:14" ht="15.5" x14ac:dyDescent="0.35">
      <c r="A71" s="7" t="s">
        <v>454</v>
      </c>
      <c r="B71" s="28">
        <v>6</v>
      </c>
      <c r="C71" s="10">
        <f>D55</f>
        <v>1.504581563379189</v>
      </c>
      <c r="D71" s="11">
        <f>B71*C71</f>
        <v>9.027489380275135</v>
      </c>
    </row>
    <row r="72" spans="1:14" ht="15.5" x14ac:dyDescent="0.35">
      <c r="A72" s="7" t="s">
        <v>464</v>
      </c>
      <c r="B72" s="28">
        <v>1</v>
      </c>
      <c r="C72" s="10">
        <f>C63</f>
        <v>0.2</v>
      </c>
      <c r="D72" s="10">
        <f>B72*C72</f>
        <v>0.2</v>
      </c>
    </row>
    <row r="73" spans="1:14" ht="15.5" x14ac:dyDescent="0.35">
      <c r="A73" s="7" t="s">
        <v>180</v>
      </c>
      <c r="B73" s="28">
        <v>180</v>
      </c>
      <c r="C73" s="10">
        <v>20</v>
      </c>
      <c r="D73" s="10">
        <f>C73/B73</f>
        <v>0.1111111111111111</v>
      </c>
    </row>
    <row r="74" spans="1:14" ht="15.5" x14ac:dyDescent="0.35">
      <c r="A74" s="7" t="s">
        <v>184</v>
      </c>
      <c r="B74" s="28">
        <v>1</v>
      </c>
      <c r="C74" s="10">
        <v>0.01</v>
      </c>
      <c r="D74" s="10">
        <f>B74*C74</f>
        <v>0.01</v>
      </c>
    </row>
    <row r="75" spans="1:14" ht="15.5" x14ac:dyDescent="0.35">
      <c r="A75" s="7" t="s">
        <v>0</v>
      </c>
      <c r="B75" s="13"/>
      <c r="C75" s="15"/>
      <c r="D75" s="74">
        <f>SUM(D71:D74)</f>
        <v>9.3486004913862448</v>
      </c>
    </row>
    <row r="76" spans="1:14" ht="15.5" x14ac:dyDescent="0.35">
      <c r="A76" s="7" t="s">
        <v>182</v>
      </c>
      <c r="D76" s="74">
        <f>D75/6</f>
        <v>1.5581000818977075</v>
      </c>
    </row>
    <row r="78" spans="1:14" ht="15.5" x14ac:dyDescent="0.35">
      <c r="A78" s="190" t="s">
        <v>485</v>
      </c>
      <c r="B78" s="159"/>
      <c r="C78" s="161"/>
      <c r="D78" s="162"/>
    </row>
    <row r="79" spans="1:14" ht="15.5" x14ac:dyDescent="0.35">
      <c r="A79" s="7"/>
      <c r="B79" s="7" t="s">
        <v>1</v>
      </c>
      <c r="C79" s="8" t="s">
        <v>2</v>
      </c>
      <c r="D79" s="8" t="s">
        <v>4</v>
      </c>
    </row>
    <row r="80" spans="1:14" ht="15.5" x14ac:dyDescent="0.35">
      <c r="A80" s="7" t="s">
        <v>454</v>
      </c>
      <c r="B80" s="28">
        <v>12</v>
      </c>
      <c r="C80" s="10">
        <f>D55</f>
        <v>1.504581563379189</v>
      </c>
      <c r="D80" s="11">
        <f>B80*C80</f>
        <v>18.05497876055027</v>
      </c>
    </row>
    <row r="81" spans="1:4" ht="15.5" x14ac:dyDescent="0.35">
      <c r="A81" s="7" t="s">
        <v>464</v>
      </c>
      <c r="B81" s="28">
        <v>1</v>
      </c>
      <c r="C81" s="10">
        <f>C63</f>
        <v>0.2</v>
      </c>
      <c r="D81" s="10">
        <f>B81*C81</f>
        <v>0.2</v>
      </c>
    </row>
    <row r="82" spans="1:4" ht="15.5" x14ac:dyDescent="0.35">
      <c r="A82" s="7" t="s">
        <v>180</v>
      </c>
      <c r="B82" s="28">
        <v>180</v>
      </c>
      <c r="C82" s="10">
        <v>20</v>
      </c>
      <c r="D82" s="10">
        <f>C82/B82</f>
        <v>0.1111111111111111</v>
      </c>
    </row>
    <row r="83" spans="1:4" ht="15.5" x14ac:dyDescent="0.35">
      <c r="A83" s="7" t="s">
        <v>184</v>
      </c>
      <c r="B83" s="28">
        <v>1</v>
      </c>
      <c r="C83" s="10">
        <v>0.01</v>
      </c>
      <c r="D83" s="10">
        <f>B83*C83</f>
        <v>0.01</v>
      </c>
    </row>
    <row r="84" spans="1:4" ht="15.5" x14ac:dyDescent="0.35">
      <c r="A84" s="7" t="s">
        <v>0</v>
      </c>
      <c r="B84" s="13"/>
      <c r="C84" s="15"/>
      <c r="D84" s="74">
        <f>SUM(D80:D83)</f>
        <v>18.376089871661382</v>
      </c>
    </row>
    <row r="85" spans="1:4" ht="15.5" x14ac:dyDescent="0.35">
      <c r="A85" s="7" t="s">
        <v>182</v>
      </c>
      <c r="D85" s="74">
        <f>D84/12</f>
        <v>1.5313408226384484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5F6E-798C-4ED1-8305-977477131C55}">
  <sheetPr>
    <tabColor rgb="FF92D050"/>
  </sheetPr>
  <dimension ref="A1:Q85"/>
  <sheetViews>
    <sheetView showGridLines="0" topLeftCell="A51" workbookViewId="0">
      <selection activeCell="D26" sqref="D26"/>
    </sheetView>
  </sheetViews>
  <sheetFormatPr defaultRowHeight="12.5" x14ac:dyDescent="0.25"/>
  <cols>
    <col min="1" max="1" width="22.81640625" customWidth="1"/>
    <col min="2" max="2" width="8.7265625" customWidth="1"/>
    <col min="3" max="3" width="10.08984375" customWidth="1"/>
    <col min="4" max="4" width="8.7265625" customWidth="1"/>
    <col min="5" max="5" width="11.453125" customWidth="1"/>
    <col min="6" max="6" width="23.1796875" customWidth="1"/>
    <col min="7" max="7" width="8.7265625" customWidth="1"/>
    <col min="8" max="8" width="7.08984375" customWidth="1"/>
    <col min="9" max="10" width="8.7265625" customWidth="1"/>
    <col min="11" max="11" width="24.90625" customWidth="1"/>
    <col min="12" max="12" width="8.7265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116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108</v>
      </c>
      <c r="B20" s="28">
        <v>1.25</v>
      </c>
      <c r="C20" s="10">
        <f>'Ingredient Cost'!D62</f>
        <v>7.55</v>
      </c>
      <c r="D20" s="11">
        <f>B20*C20</f>
        <v>9.4375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109</v>
      </c>
      <c r="B21" s="28">
        <v>0.75</v>
      </c>
      <c r="C21" s="10">
        <v>4.66</v>
      </c>
      <c r="D21" s="11">
        <f>B21*C21</f>
        <v>3.4950000000000001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110</v>
      </c>
      <c r="B22" s="28">
        <v>2.25</v>
      </c>
      <c r="C22" s="10">
        <f>'Ingredient Cost'!D12</f>
        <v>0.74</v>
      </c>
      <c r="D22" s="10">
        <f>B22*C22</f>
        <v>1.665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111</v>
      </c>
      <c r="B23" s="28">
        <v>0.375</v>
      </c>
      <c r="C23" s="10">
        <f>'Ingredient Cost'!D20</f>
        <v>8.9499999999999993</v>
      </c>
      <c r="D23" s="10">
        <f>B23*C23</f>
        <v>3.3562499999999997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6"/>
      <c r="B24" s="12">
        <f>SUM(B20:B23)</f>
        <v>4.625</v>
      </c>
      <c r="C24" s="10"/>
      <c r="D24" s="10">
        <f>SUM(D20:D23)</f>
        <v>17.953749999999999</v>
      </c>
      <c r="E24" s="158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5"/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20">
        <f>D24/B24</f>
        <v>3.8818918918918919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6" t="s">
        <v>113</v>
      </c>
      <c r="B32" s="28">
        <v>0.105</v>
      </c>
      <c r="C32" s="10">
        <f>$D$26</f>
        <v>3.8818918918918919</v>
      </c>
      <c r="D32" s="11">
        <f>B32*C32</f>
        <v>0.40759864864864864</v>
      </c>
      <c r="E32" s="13"/>
      <c r="F32" s="171" t="s">
        <v>113</v>
      </c>
      <c r="G32" s="170">
        <v>0.3</v>
      </c>
      <c r="H32" s="10">
        <f>$D$26</f>
        <v>3.8818918918918919</v>
      </c>
      <c r="I32" s="11">
        <f>G32*H32</f>
        <v>1.1645675675675675</v>
      </c>
      <c r="J32" s="13"/>
      <c r="K32" s="171" t="s">
        <v>113</v>
      </c>
      <c r="L32" s="170">
        <v>0.6</v>
      </c>
      <c r="M32" s="10">
        <f>$D$26</f>
        <v>3.8818918918918919</v>
      </c>
      <c r="N32" s="11">
        <f>L32*M32</f>
        <v>2.329135135135135</v>
      </c>
    </row>
    <row r="33" spans="1:14" ht="15.5" x14ac:dyDescent="0.35">
      <c r="A33" s="6" t="s">
        <v>114</v>
      </c>
      <c r="B33" s="28">
        <v>0.03</v>
      </c>
      <c r="C33" s="10">
        <f>'Ingredient Cost'!$D$52</f>
        <v>2</v>
      </c>
      <c r="D33" s="11">
        <f>B33*C33</f>
        <v>0.06</v>
      </c>
      <c r="E33" s="13"/>
      <c r="F33" s="171" t="s">
        <v>114</v>
      </c>
      <c r="G33" s="170">
        <v>0.06</v>
      </c>
      <c r="H33" s="10">
        <f>'Ingredient Cost'!$D$52</f>
        <v>2</v>
      </c>
      <c r="I33" s="11">
        <f>G33*H33</f>
        <v>0.12</v>
      </c>
      <c r="J33" s="13"/>
      <c r="K33" s="171" t="s">
        <v>114</v>
      </c>
      <c r="L33" s="170">
        <v>0.12</v>
      </c>
      <c r="M33" s="10">
        <f>'Ingredient Cost'!$D$52</f>
        <v>2</v>
      </c>
      <c r="N33" s="11">
        <f t="shared" ref="N33:N36" si="0">L33*M33</f>
        <v>0.24</v>
      </c>
    </row>
    <row r="34" spans="1:14" ht="15.5" x14ac:dyDescent="0.35">
      <c r="A34" s="6" t="s">
        <v>152</v>
      </c>
      <c r="B34" s="80"/>
      <c r="C34" s="81">
        <f>'Pastry Costing'!F34</f>
        <v>0</v>
      </c>
      <c r="D34" s="10">
        <f>'Pastry Costing'!F30</f>
        <v>0.2107946902228468</v>
      </c>
      <c r="E34" s="13"/>
      <c r="F34" s="171" t="s">
        <v>151</v>
      </c>
      <c r="G34" s="211"/>
      <c r="H34" s="81">
        <f>'Pastry Costing'!K34</f>
        <v>0</v>
      </c>
      <c r="I34" s="10">
        <f>'Pastry Costing'!F31</f>
        <v>0.34141430034129694</v>
      </c>
      <c r="J34" s="13"/>
      <c r="K34" s="171" t="s">
        <v>151</v>
      </c>
      <c r="L34" s="170"/>
      <c r="M34" s="81">
        <f>'Pastry Costing'!P34</f>
        <v>0</v>
      </c>
      <c r="N34" s="10">
        <f>'Pastry Costing'!F32</f>
        <v>0.52407440273037542</v>
      </c>
    </row>
    <row r="35" spans="1:14" ht="15.5" x14ac:dyDescent="0.35">
      <c r="A35" s="7" t="s">
        <v>106</v>
      </c>
      <c r="B35" s="28"/>
      <c r="C35" s="10">
        <f>'Ingredient Cost'!$D$95</f>
        <v>0.09</v>
      </c>
      <c r="D35" s="10">
        <f>C35</f>
        <v>0.09</v>
      </c>
      <c r="E35" s="13"/>
      <c r="F35" s="7" t="s">
        <v>106</v>
      </c>
      <c r="G35" s="28"/>
      <c r="H35" s="10">
        <f>'Ingredient Cost'!$D$95</f>
        <v>0.09</v>
      </c>
      <c r="I35" s="10">
        <f>H35</f>
        <v>0.09</v>
      </c>
      <c r="J35" s="13"/>
      <c r="K35" s="7" t="s">
        <v>106</v>
      </c>
      <c r="L35" s="28"/>
      <c r="M35" s="10">
        <f>'Ingredient Cost'!$D$95</f>
        <v>0.09</v>
      </c>
      <c r="N35" s="11">
        <f>M35</f>
        <v>0.09</v>
      </c>
    </row>
    <row r="36" spans="1:14" ht="15.5" x14ac:dyDescent="0.35">
      <c r="A36" s="7" t="s">
        <v>115</v>
      </c>
      <c r="B36" s="28"/>
      <c r="C36" s="10">
        <f>'Ingredient Cost'!$C$36</f>
        <v>0</v>
      </c>
      <c r="D36" s="10">
        <f>B36*C36</f>
        <v>0</v>
      </c>
      <c r="E36" s="13"/>
      <c r="F36" s="7" t="s">
        <v>115</v>
      </c>
      <c r="G36" s="28"/>
      <c r="H36" s="10">
        <f>'Ingredient Cost'!$C$36</f>
        <v>0</v>
      </c>
      <c r="I36" s="10">
        <f>G36*H36</f>
        <v>0</v>
      </c>
      <c r="J36" s="13"/>
      <c r="K36" s="7" t="s">
        <v>115</v>
      </c>
      <c r="L36" s="28"/>
      <c r="M36" s="10">
        <f>'Ingredient Cost'!$C$36</f>
        <v>0</v>
      </c>
      <c r="N36" s="11">
        <f t="shared" si="0"/>
        <v>0</v>
      </c>
    </row>
    <row r="37" spans="1:14" ht="15.5" x14ac:dyDescent="0.35">
      <c r="A37" s="7" t="s">
        <v>0</v>
      </c>
      <c r="B37" s="13"/>
      <c r="C37" s="15"/>
      <c r="D37" s="74">
        <f>SUM(D32:D34)</f>
        <v>0.67839333887149544</v>
      </c>
      <c r="E37" s="13"/>
      <c r="F37" s="7" t="s">
        <v>0</v>
      </c>
      <c r="G37" s="13"/>
      <c r="H37" s="15"/>
      <c r="I37" s="74">
        <f>SUM(I32:I34)</f>
        <v>1.6259818679088647</v>
      </c>
      <c r="J37" s="13"/>
      <c r="K37" s="7" t="s">
        <v>0</v>
      </c>
      <c r="L37" s="13"/>
      <c r="M37" s="15"/>
      <c r="N37" s="74">
        <f>SUM(N32:N34)</f>
        <v>3.0932095378655107</v>
      </c>
    </row>
    <row r="38" spans="1:14" ht="15.5" x14ac:dyDescent="0.35">
      <c r="A38" s="7"/>
      <c r="B38" s="13"/>
      <c r="C38" s="15"/>
      <c r="D38" s="74"/>
      <c r="E38" s="13"/>
      <c r="F38" s="7"/>
      <c r="G38" s="13"/>
      <c r="H38" s="15"/>
      <c r="I38" s="74"/>
      <c r="J38" s="13"/>
      <c r="K38" s="7"/>
      <c r="L38" s="13"/>
      <c r="M38" s="15"/>
      <c r="N38" s="74"/>
    </row>
    <row r="39" spans="1:14" ht="15.5" x14ac:dyDescent="0.35">
      <c r="A39" s="164" t="s">
        <v>460</v>
      </c>
      <c r="B39" s="166"/>
      <c r="C39" s="167"/>
      <c r="D39" s="188"/>
      <c r="E39" s="166"/>
      <c r="F39" s="164"/>
      <c r="G39" s="166"/>
      <c r="H39" s="167"/>
      <c r="I39" s="188"/>
      <c r="J39" s="166"/>
      <c r="K39" s="164"/>
      <c r="L39" s="166"/>
      <c r="M39" s="167"/>
      <c r="N39" s="188"/>
    </row>
    <row r="40" spans="1:14" ht="15.5" x14ac:dyDescent="0.35">
      <c r="A40" s="7"/>
      <c r="B40" s="13"/>
      <c r="C40" s="15"/>
      <c r="D40" s="74"/>
      <c r="E40" s="13"/>
      <c r="F40" s="7"/>
      <c r="G40" s="13"/>
      <c r="H40" s="15"/>
      <c r="I40" s="74"/>
      <c r="J40" s="13"/>
      <c r="K40" s="7"/>
      <c r="L40" s="13"/>
      <c r="M40" s="15"/>
      <c r="N40" s="74"/>
    </row>
    <row r="41" spans="1:14" ht="15.5" x14ac:dyDescent="0.35">
      <c r="A41" s="159" t="s">
        <v>459</v>
      </c>
      <c r="B41" s="160"/>
      <c r="C41" s="161"/>
      <c r="D41" s="162"/>
      <c r="F41" s="159" t="s">
        <v>42</v>
      </c>
      <c r="G41" s="159"/>
      <c r="H41" s="161"/>
      <c r="I41" s="162"/>
      <c r="K41" s="159" t="s">
        <v>43</v>
      </c>
      <c r="L41" s="160"/>
      <c r="M41" s="161"/>
      <c r="N41" s="162"/>
    </row>
    <row r="42" spans="1:14" ht="15.5" x14ac:dyDescent="0.35">
      <c r="A42" s="6"/>
      <c r="B42" s="7" t="s">
        <v>1</v>
      </c>
      <c r="C42" s="8" t="s">
        <v>2</v>
      </c>
      <c r="D42" s="8" t="s">
        <v>4</v>
      </c>
      <c r="E42" s="13"/>
      <c r="F42" s="7"/>
      <c r="G42" s="7" t="s">
        <v>1</v>
      </c>
      <c r="H42" s="8" t="s">
        <v>2</v>
      </c>
      <c r="I42" s="8" t="s">
        <v>4</v>
      </c>
      <c r="J42" s="13"/>
      <c r="K42" s="7"/>
      <c r="L42" s="7" t="s">
        <v>1</v>
      </c>
      <c r="M42" s="8" t="s">
        <v>2</v>
      </c>
      <c r="N42" s="8" t="s">
        <v>4</v>
      </c>
    </row>
    <row r="43" spans="1:14" ht="15.5" x14ac:dyDescent="0.35">
      <c r="A43" s="171" t="s">
        <v>449</v>
      </c>
      <c r="B43" s="170">
        <v>1</v>
      </c>
      <c r="C43" s="10">
        <f>$D$37</f>
        <v>0.67839333887149544</v>
      </c>
      <c r="D43" s="156">
        <f>B43*C43</f>
        <v>0.67839333887149544</v>
      </c>
      <c r="E43" s="158"/>
      <c r="F43" s="171" t="s">
        <v>449</v>
      </c>
      <c r="G43" s="170">
        <v>1</v>
      </c>
      <c r="H43" s="10">
        <f>$I$37</f>
        <v>1.6259818679088647</v>
      </c>
      <c r="I43" s="156">
        <f>G43*H43</f>
        <v>1.6259818679088647</v>
      </c>
      <c r="J43" s="158"/>
      <c r="K43" s="171" t="s">
        <v>449</v>
      </c>
      <c r="L43" s="170">
        <v>1</v>
      </c>
      <c r="M43" s="10">
        <f>$N$37</f>
        <v>3.0932095378655107</v>
      </c>
      <c r="N43" s="11">
        <f>L43*M43</f>
        <v>3.0932095378655107</v>
      </c>
    </row>
    <row r="44" spans="1:14" ht="15.5" x14ac:dyDescent="0.35">
      <c r="A44" s="7" t="s">
        <v>106</v>
      </c>
      <c r="B44" s="28">
        <v>1</v>
      </c>
      <c r="C44" s="10">
        <f>'Ingredient Cost'!$D$95</f>
        <v>0.09</v>
      </c>
      <c r="D44" s="10">
        <f>B44*C44</f>
        <v>0.09</v>
      </c>
      <c r="E44" s="13"/>
      <c r="F44" s="7" t="s">
        <v>106</v>
      </c>
      <c r="G44" s="28">
        <v>1</v>
      </c>
      <c r="H44" s="10">
        <f>'Ingredient Cost'!$D$83</f>
        <v>7.0000000000000007E-2</v>
      </c>
      <c r="I44" s="157">
        <f>G44*H44</f>
        <v>7.0000000000000007E-2</v>
      </c>
      <c r="J44" s="158"/>
      <c r="K44" s="7" t="s">
        <v>106</v>
      </c>
      <c r="L44" s="28">
        <v>1</v>
      </c>
      <c r="M44" s="10">
        <f>'Ingredient Cost'!$D$83</f>
        <v>7.0000000000000007E-2</v>
      </c>
      <c r="N44" s="10">
        <f>L44*M44</f>
        <v>7.0000000000000007E-2</v>
      </c>
    </row>
    <row r="45" spans="1:14" ht="15.5" x14ac:dyDescent="0.35">
      <c r="A45" s="7" t="s">
        <v>139</v>
      </c>
      <c r="B45" s="28">
        <v>1</v>
      </c>
      <c r="C45" s="10">
        <f>'Ingredient Cost'!$D$89</f>
        <v>0.06</v>
      </c>
      <c r="D45" s="10">
        <f>B45*C45</f>
        <v>0.06</v>
      </c>
      <c r="E45" s="13"/>
      <c r="F45" s="7" t="s">
        <v>139</v>
      </c>
      <c r="G45" s="28">
        <v>1</v>
      </c>
      <c r="H45" s="10">
        <v>0.22</v>
      </c>
      <c r="I45" s="157">
        <f>H45*G45</f>
        <v>0.22</v>
      </c>
      <c r="J45" s="158"/>
      <c r="K45" s="7" t="s">
        <v>139</v>
      </c>
      <c r="L45" s="28">
        <v>1</v>
      </c>
      <c r="M45" s="10">
        <v>0.3</v>
      </c>
      <c r="N45" s="10">
        <v>0.3</v>
      </c>
    </row>
    <row r="46" spans="1:14" ht="15.5" x14ac:dyDescent="0.35">
      <c r="F46" s="7" t="s">
        <v>67</v>
      </c>
      <c r="G46" s="28">
        <v>1</v>
      </c>
      <c r="H46" s="10">
        <v>0.15</v>
      </c>
      <c r="I46" s="10">
        <v>0.15</v>
      </c>
      <c r="K46" s="7" t="s">
        <v>67</v>
      </c>
      <c r="L46" s="28">
        <v>1</v>
      </c>
      <c r="M46" s="10">
        <v>0.15</v>
      </c>
      <c r="N46" s="10">
        <v>0.15</v>
      </c>
    </row>
    <row r="47" spans="1:14" ht="15.5" x14ac:dyDescent="0.35">
      <c r="A47" s="6" t="s">
        <v>0</v>
      </c>
      <c r="B47" s="13"/>
      <c r="C47" s="15"/>
      <c r="D47" s="74">
        <f>SUM(D43:D45)</f>
        <v>0.82839333887149547</v>
      </c>
      <c r="E47" s="13"/>
      <c r="F47" s="7" t="s">
        <v>0</v>
      </c>
      <c r="G47" s="13"/>
      <c r="H47" s="15"/>
      <c r="I47" s="74">
        <f>SUM(I43:I46)</f>
        <v>2.0659818679088646</v>
      </c>
      <c r="J47" s="13"/>
      <c r="K47" s="7" t="s">
        <v>0</v>
      </c>
      <c r="L47" s="13"/>
      <c r="M47" s="15"/>
      <c r="N47" s="74">
        <f>SUM(N43:N46)</f>
        <v>3.6132095378655102</v>
      </c>
    </row>
    <row r="48" spans="1:14" ht="15.5" x14ac:dyDescent="0.35">
      <c r="A48" s="7"/>
      <c r="B48" s="13"/>
      <c r="C48" s="15"/>
      <c r="D48" s="74"/>
      <c r="E48" s="13"/>
      <c r="F48" s="7"/>
      <c r="G48" s="13"/>
      <c r="H48" s="15"/>
      <c r="I48" s="74"/>
      <c r="J48" s="13"/>
      <c r="K48" s="7"/>
      <c r="L48" s="13"/>
      <c r="M48" s="15"/>
      <c r="N48" s="74"/>
    </row>
    <row r="50" spans="1:17" ht="15.5" x14ac:dyDescent="0.35">
      <c r="A50" s="164" t="s">
        <v>461</v>
      </c>
      <c r="B50" s="165"/>
      <c r="C50" s="167"/>
      <c r="D50" s="189" t="s">
        <v>462</v>
      </c>
      <c r="E50" s="164" t="s">
        <v>456</v>
      </c>
      <c r="F50" s="164"/>
      <c r="G50" s="166"/>
      <c r="H50" s="167"/>
      <c r="I50" s="168"/>
      <c r="J50" s="166"/>
      <c r="K50" s="169"/>
      <c r="L50" s="169"/>
      <c r="M50" s="166"/>
      <c r="N50" s="166"/>
      <c r="O50" s="13"/>
      <c r="P50" s="13"/>
      <c r="Q50" s="13"/>
    </row>
    <row r="51" spans="1:17" ht="15.5" x14ac:dyDescent="0.35">
      <c r="A51" s="7"/>
      <c r="B51" s="13"/>
      <c r="C51" s="15"/>
      <c r="D51" s="20"/>
      <c r="E51" s="13"/>
      <c r="F51" s="22"/>
      <c r="G51" s="22"/>
      <c r="H51" s="22"/>
      <c r="I51" s="22"/>
      <c r="J51" s="22"/>
      <c r="K51" s="22"/>
      <c r="L51" s="22"/>
      <c r="M51" s="13"/>
      <c r="N51" s="13"/>
      <c r="O51" s="13"/>
      <c r="P51" s="13"/>
      <c r="Q51" s="13"/>
    </row>
    <row r="52" spans="1:17" ht="15.5" x14ac:dyDescent="0.35">
      <c r="A52" s="159" t="s">
        <v>166</v>
      </c>
      <c r="B52" s="160"/>
      <c r="C52" s="161"/>
      <c r="D52" s="162"/>
      <c r="F52" s="159" t="s">
        <v>42</v>
      </c>
      <c r="G52" s="159"/>
      <c r="H52" s="161"/>
      <c r="I52" s="162"/>
      <c r="K52" s="159" t="s">
        <v>43</v>
      </c>
      <c r="L52" s="160"/>
      <c r="M52" s="161"/>
      <c r="N52" s="162"/>
    </row>
    <row r="53" spans="1:17" ht="15.5" x14ac:dyDescent="0.35">
      <c r="A53" s="6"/>
      <c r="B53" s="7" t="s">
        <v>1</v>
      </c>
      <c r="C53" s="8" t="s">
        <v>2</v>
      </c>
      <c r="D53" s="8" t="s">
        <v>4</v>
      </c>
      <c r="E53" s="13"/>
      <c r="F53" s="7"/>
      <c r="G53" s="7" t="s">
        <v>1</v>
      </c>
      <c r="H53" s="8" t="s">
        <v>2</v>
      </c>
      <c r="I53" s="8" t="s">
        <v>4</v>
      </c>
      <c r="J53" s="13"/>
      <c r="K53" s="7"/>
      <c r="L53" s="7" t="s">
        <v>1</v>
      </c>
      <c r="M53" s="8" t="s">
        <v>2</v>
      </c>
      <c r="N53" s="8" t="s">
        <v>4</v>
      </c>
    </row>
    <row r="54" spans="1:17" ht="15.5" x14ac:dyDescent="0.35">
      <c r="A54" s="171" t="s">
        <v>463</v>
      </c>
      <c r="B54" s="170">
        <v>1</v>
      </c>
      <c r="C54" s="10">
        <f>$D$47</f>
        <v>0.82839333887149547</v>
      </c>
      <c r="D54" s="156">
        <f>B54*C54</f>
        <v>0.82839333887149547</v>
      </c>
      <c r="E54" s="158"/>
      <c r="F54" s="171" t="s">
        <v>463</v>
      </c>
      <c r="G54" s="170">
        <v>1</v>
      </c>
      <c r="H54" s="10">
        <f>$I$47</f>
        <v>2.0659818679088646</v>
      </c>
      <c r="I54" s="156">
        <f>G54*H54</f>
        <v>2.0659818679088646</v>
      </c>
      <c r="J54" s="158"/>
      <c r="K54" s="171" t="s">
        <v>463</v>
      </c>
      <c r="L54" s="170">
        <v>1</v>
      </c>
      <c r="M54" s="10">
        <f>$N$47</f>
        <v>3.6132095378655102</v>
      </c>
      <c r="N54" s="11">
        <f>L54*M54</f>
        <v>3.6132095378655102</v>
      </c>
    </row>
    <row r="55" spans="1:17" ht="15.5" x14ac:dyDescent="0.35">
      <c r="A55" s="7" t="s">
        <v>180</v>
      </c>
      <c r="B55" s="28">
        <v>60</v>
      </c>
      <c r="C55" s="10">
        <f>'Ingredient Cost'!$B$113</f>
        <v>20</v>
      </c>
      <c r="D55" s="10">
        <f>C55/B55</f>
        <v>0.33333333333333331</v>
      </c>
      <c r="E55" s="13"/>
      <c r="F55" s="7" t="s">
        <v>140</v>
      </c>
      <c r="G55" s="28">
        <v>48</v>
      </c>
      <c r="H55" s="10">
        <f>'Ingredient Cost'!$B$113</f>
        <v>20</v>
      </c>
      <c r="I55" s="157">
        <f>H55/G55</f>
        <v>0.41666666666666669</v>
      </c>
      <c r="J55" s="158"/>
      <c r="K55" s="7" t="s">
        <v>140</v>
      </c>
      <c r="L55" s="28">
        <v>32</v>
      </c>
      <c r="M55" s="10">
        <f>'Ingredient Cost'!$B$113</f>
        <v>20</v>
      </c>
      <c r="N55" s="10">
        <f>M55/L55</f>
        <v>0.625</v>
      </c>
    </row>
    <row r="56" spans="1:17" ht="15.5" x14ac:dyDescent="0.35">
      <c r="A56" s="6" t="s">
        <v>0</v>
      </c>
      <c r="B56" s="13"/>
      <c r="C56" s="15"/>
      <c r="D56" s="74">
        <f>SUM(D54:D55)</f>
        <v>1.1617266722048287</v>
      </c>
      <c r="E56" s="13"/>
      <c r="F56" s="7" t="s">
        <v>0</v>
      </c>
      <c r="G56" s="13"/>
      <c r="H56" s="15"/>
      <c r="I56" s="74">
        <f>SUM(I54:I55)</f>
        <v>2.4826485345755311</v>
      </c>
      <c r="J56" s="13"/>
      <c r="K56" s="7" t="s">
        <v>0</v>
      </c>
      <c r="L56" s="13"/>
      <c r="M56" s="15"/>
      <c r="N56" s="74">
        <f>SUM(N54:N55)</f>
        <v>4.2382095378655098</v>
      </c>
    </row>
    <row r="57" spans="1:17" ht="15.5" x14ac:dyDescent="0.35">
      <c r="A57" s="7"/>
      <c r="B57" s="13"/>
      <c r="C57" s="15"/>
      <c r="D57" s="74"/>
      <c r="E57" s="13"/>
      <c r="F57" s="7"/>
      <c r="G57" s="13"/>
      <c r="H57" s="15"/>
      <c r="I57" s="74"/>
      <c r="J57" s="13"/>
      <c r="K57" s="7"/>
      <c r="L57" s="13"/>
      <c r="M57" s="15"/>
      <c r="N57" s="74"/>
    </row>
    <row r="58" spans="1:17" ht="15.5" x14ac:dyDescent="0.35">
      <c r="A58" s="7"/>
      <c r="B58" s="74" t="s">
        <v>467</v>
      </c>
      <c r="C58" s="163"/>
      <c r="D58" s="191">
        <f>D$55/D$54</f>
        <v>0.40238533760716494</v>
      </c>
      <c r="E58" s="13"/>
      <c r="F58" s="7"/>
      <c r="G58" s="74" t="s">
        <v>467</v>
      </c>
      <c r="H58" s="74"/>
      <c r="I58" s="191">
        <f>I$55/I$54</f>
        <v>0.20167973065920772</v>
      </c>
      <c r="J58" s="13"/>
      <c r="K58" s="7"/>
      <c r="L58" s="74" t="s">
        <v>467</v>
      </c>
      <c r="M58" s="163"/>
      <c r="N58" s="191">
        <f>N$55/N$54</f>
        <v>0.17297640600417999</v>
      </c>
    </row>
    <row r="59" spans="1:17" ht="15.5" x14ac:dyDescent="0.35">
      <c r="A59" s="164" t="s">
        <v>448</v>
      </c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</row>
    <row r="60" spans="1:17" ht="15.5" x14ac:dyDescent="0.35">
      <c r="A60" s="190" t="s">
        <v>466</v>
      </c>
      <c r="B60" s="159"/>
      <c r="C60" s="161"/>
      <c r="D60" s="162"/>
      <c r="F60" s="190" t="s">
        <v>465</v>
      </c>
      <c r="G60" s="159"/>
      <c r="H60" s="161"/>
      <c r="I60" s="162"/>
      <c r="K60" s="7"/>
      <c r="L60" s="47"/>
      <c r="M60" s="48"/>
      <c r="N60" s="49"/>
    </row>
    <row r="61" spans="1:17" ht="15.5" x14ac:dyDescent="0.35">
      <c r="A61" s="7"/>
      <c r="B61" s="7" t="s">
        <v>1</v>
      </c>
      <c r="C61" s="8" t="s">
        <v>2</v>
      </c>
      <c r="D61" s="8" t="s">
        <v>4</v>
      </c>
      <c r="E61" s="13"/>
      <c r="F61" s="7"/>
      <c r="G61" s="7" t="s">
        <v>1</v>
      </c>
      <c r="H61" s="8" t="s">
        <v>2</v>
      </c>
      <c r="I61" s="8" t="s">
        <v>4</v>
      </c>
      <c r="J61" s="13"/>
      <c r="K61" s="7"/>
      <c r="L61" s="7"/>
      <c r="M61" s="8"/>
      <c r="N61" s="8"/>
    </row>
    <row r="62" spans="1:17" ht="15.5" x14ac:dyDescent="0.35">
      <c r="A62" s="7" t="s">
        <v>454</v>
      </c>
      <c r="B62" s="28">
        <v>9</v>
      </c>
      <c r="C62" s="10">
        <f>D56</f>
        <v>1.1617266722048287</v>
      </c>
      <c r="D62" s="11">
        <f>B62*C62</f>
        <v>10.455540049843458</v>
      </c>
      <c r="E62" s="13"/>
      <c r="F62" s="7" t="s">
        <v>454</v>
      </c>
      <c r="G62" s="28">
        <v>4</v>
      </c>
      <c r="H62" s="10">
        <f>I56</f>
        <v>2.4826485345755311</v>
      </c>
      <c r="I62" s="11">
        <f>G62*H62</f>
        <v>9.9305941383021246</v>
      </c>
      <c r="J62" s="13"/>
      <c r="K62" s="7"/>
      <c r="L62" s="13"/>
      <c r="M62" s="15"/>
      <c r="N62" s="74"/>
    </row>
    <row r="63" spans="1:17" ht="15.5" x14ac:dyDescent="0.35">
      <c r="A63" s="7" t="s">
        <v>464</v>
      </c>
      <c r="B63" s="28">
        <v>1</v>
      </c>
      <c r="C63" s="10">
        <f>'Ingredient Cost'!D108</f>
        <v>0.2</v>
      </c>
      <c r="D63" s="10">
        <f>B63*C63</f>
        <v>0.2</v>
      </c>
      <c r="E63" s="13"/>
      <c r="F63" s="7" t="s">
        <v>464</v>
      </c>
      <c r="G63" s="28">
        <v>1</v>
      </c>
      <c r="H63" s="10">
        <f>C63</f>
        <v>0.2</v>
      </c>
      <c r="I63" s="10">
        <f>G63*H63</f>
        <v>0.2</v>
      </c>
      <c r="J63" s="13"/>
      <c r="K63" s="7"/>
      <c r="L63" s="13"/>
      <c r="M63" s="15"/>
      <c r="N63" s="15"/>
    </row>
    <row r="64" spans="1:17" ht="15.5" x14ac:dyDescent="0.35">
      <c r="A64" s="7" t="s">
        <v>180</v>
      </c>
      <c r="B64" s="28">
        <v>180</v>
      </c>
      <c r="C64" s="10">
        <f>C55</f>
        <v>20</v>
      </c>
      <c r="D64" s="10">
        <f>C64/B64</f>
        <v>0.1111111111111111</v>
      </c>
      <c r="E64" s="13"/>
      <c r="F64" s="7" t="s">
        <v>180</v>
      </c>
      <c r="G64" s="28">
        <v>180</v>
      </c>
      <c r="H64" s="10">
        <f>C55</f>
        <v>20</v>
      </c>
      <c r="I64" s="10">
        <f>H64/G64</f>
        <v>0.1111111111111111</v>
      </c>
      <c r="J64" s="13"/>
      <c r="K64" s="7"/>
      <c r="L64" s="13"/>
      <c r="M64" s="15"/>
      <c r="N64" s="15"/>
    </row>
    <row r="65" spans="1:14" ht="15.5" x14ac:dyDescent="0.35">
      <c r="A65" s="7" t="s">
        <v>184</v>
      </c>
      <c r="B65" s="28">
        <v>1</v>
      </c>
      <c r="C65" s="10">
        <v>0.01</v>
      </c>
      <c r="D65" s="10">
        <f>B65*C65</f>
        <v>0.01</v>
      </c>
      <c r="E65" s="13"/>
      <c r="F65" s="7" t="s">
        <v>184</v>
      </c>
      <c r="G65" s="28">
        <v>1</v>
      </c>
      <c r="H65" s="10">
        <v>0.01</v>
      </c>
      <c r="I65" s="10">
        <f>G65*H65</f>
        <v>0.01</v>
      </c>
      <c r="J65" s="13"/>
      <c r="K65" s="7"/>
      <c r="L65" s="13"/>
      <c r="M65" s="15"/>
      <c r="N65" s="15"/>
    </row>
    <row r="66" spans="1:14" ht="15.5" x14ac:dyDescent="0.35">
      <c r="A66" s="7" t="s">
        <v>0</v>
      </c>
      <c r="B66" s="13"/>
      <c r="C66" s="15"/>
      <c r="D66" s="74">
        <f>SUM(D62:D65)</f>
        <v>10.776651160954568</v>
      </c>
      <c r="E66" s="13"/>
      <c r="F66" s="7" t="s">
        <v>0</v>
      </c>
      <c r="G66" s="13"/>
      <c r="H66" s="15"/>
      <c r="I66" s="74">
        <f>SUM(I62:I65)</f>
        <v>10.251705249413234</v>
      </c>
      <c r="J66" s="13"/>
      <c r="K66" s="7"/>
      <c r="L66" s="13"/>
      <c r="M66" s="15"/>
      <c r="N66" s="82"/>
    </row>
    <row r="67" spans="1:14" ht="15.5" x14ac:dyDescent="0.35">
      <c r="A67" s="7" t="s">
        <v>182</v>
      </c>
      <c r="D67" s="74">
        <f>D66/9</f>
        <v>1.1974056845505077</v>
      </c>
      <c r="F67" s="7" t="s">
        <v>182</v>
      </c>
      <c r="I67" s="74">
        <f>I66/4</f>
        <v>2.5629263123533086</v>
      </c>
    </row>
    <row r="68" spans="1:14" ht="15.5" x14ac:dyDescent="0.35">
      <c r="A68" s="7"/>
      <c r="D68" s="74"/>
      <c r="F68" s="7"/>
      <c r="I68" s="74"/>
    </row>
    <row r="69" spans="1:14" ht="15.5" x14ac:dyDescent="0.35">
      <c r="A69" s="190" t="s">
        <v>475</v>
      </c>
      <c r="B69" s="159"/>
      <c r="C69" s="161"/>
      <c r="D69" s="162"/>
      <c r="F69" s="7"/>
      <c r="I69" s="74"/>
    </row>
    <row r="70" spans="1:14" ht="15.5" x14ac:dyDescent="0.35">
      <c r="A70" s="7"/>
      <c r="B70" s="7" t="s">
        <v>1</v>
      </c>
      <c r="C70" s="8" t="s">
        <v>2</v>
      </c>
      <c r="D70" s="8" t="s">
        <v>4</v>
      </c>
    </row>
    <row r="71" spans="1:14" ht="15.5" x14ac:dyDescent="0.35">
      <c r="A71" s="7" t="s">
        <v>454</v>
      </c>
      <c r="B71" s="28">
        <v>6</v>
      </c>
      <c r="C71" s="10">
        <f>D56</f>
        <v>1.1617266722048287</v>
      </c>
      <c r="D71" s="11">
        <f>B71*C71</f>
        <v>6.9703600332289728</v>
      </c>
    </row>
    <row r="72" spans="1:14" ht="15.5" x14ac:dyDescent="0.35">
      <c r="A72" s="7" t="s">
        <v>464</v>
      </c>
      <c r="B72" s="28">
        <v>1</v>
      </c>
      <c r="C72" s="10">
        <f>C63</f>
        <v>0.2</v>
      </c>
      <c r="D72" s="10">
        <f>B72*C72</f>
        <v>0.2</v>
      </c>
    </row>
    <row r="73" spans="1:14" ht="15.5" x14ac:dyDescent="0.35">
      <c r="A73" s="7" t="s">
        <v>180</v>
      </c>
      <c r="B73" s="28">
        <v>180</v>
      </c>
      <c r="C73" s="10">
        <v>20</v>
      </c>
      <c r="D73" s="10">
        <f>C73/B73</f>
        <v>0.1111111111111111</v>
      </c>
    </row>
    <row r="74" spans="1:14" ht="15.5" x14ac:dyDescent="0.35">
      <c r="A74" s="7" t="s">
        <v>184</v>
      </c>
      <c r="B74" s="28">
        <v>1</v>
      </c>
      <c r="C74" s="10">
        <v>0.01</v>
      </c>
      <c r="D74" s="10">
        <f>B74*C74</f>
        <v>0.01</v>
      </c>
    </row>
    <row r="75" spans="1:14" ht="15.5" x14ac:dyDescent="0.35">
      <c r="A75" s="7" t="s">
        <v>0</v>
      </c>
      <c r="B75" s="13"/>
      <c r="C75" s="15"/>
      <c r="D75" s="74">
        <f>SUM(D71:D74)</f>
        <v>7.2914711443400835</v>
      </c>
    </row>
    <row r="76" spans="1:14" ht="15.5" x14ac:dyDescent="0.35">
      <c r="A76" s="7" t="s">
        <v>182</v>
      </c>
      <c r="D76" s="74">
        <f>D75/6</f>
        <v>1.2152451907233472</v>
      </c>
    </row>
    <row r="78" spans="1:14" ht="15.5" x14ac:dyDescent="0.35">
      <c r="A78" s="190" t="s">
        <v>485</v>
      </c>
      <c r="B78" s="159"/>
      <c r="C78" s="161"/>
      <c r="D78" s="162"/>
    </row>
    <row r="79" spans="1:14" ht="15.5" x14ac:dyDescent="0.35">
      <c r="A79" s="7"/>
      <c r="B79" s="7" t="s">
        <v>1</v>
      </c>
      <c r="C79" s="8" t="s">
        <v>2</v>
      </c>
      <c r="D79" s="8" t="s">
        <v>4</v>
      </c>
    </row>
    <row r="80" spans="1:14" ht="15.5" x14ac:dyDescent="0.35">
      <c r="A80" s="7" t="s">
        <v>454</v>
      </c>
      <c r="B80" s="28">
        <v>12</v>
      </c>
      <c r="C80" s="10">
        <f>D56</f>
        <v>1.1617266722048287</v>
      </c>
      <c r="D80" s="11">
        <f>B80*C80</f>
        <v>13.940720066457946</v>
      </c>
    </row>
    <row r="81" spans="1:4" ht="15.5" x14ac:dyDescent="0.35">
      <c r="A81" s="7" t="s">
        <v>464</v>
      </c>
      <c r="B81" s="28">
        <v>1</v>
      </c>
      <c r="C81" s="10">
        <f>C63</f>
        <v>0.2</v>
      </c>
      <c r="D81" s="10">
        <f>B81*C81</f>
        <v>0.2</v>
      </c>
    </row>
    <row r="82" spans="1:4" ht="15.5" x14ac:dyDescent="0.35">
      <c r="A82" s="7" t="s">
        <v>180</v>
      </c>
      <c r="B82" s="28">
        <v>180</v>
      </c>
      <c r="C82" s="10">
        <v>20</v>
      </c>
      <c r="D82" s="10">
        <f>C82/B82</f>
        <v>0.1111111111111111</v>
      </c>
    </row>
    <row r="83" spans="1:4" ht="15.5" x14ac:dyDescent="0.35">
      <c r="A83" s="7" t="s">
        <v>184</v>
      </c>
      <c r="B83" s="28">
        <v>1</v>
      </c>
      <c r="C83" s="10">
        <v>0.01</v>
      </c>
      <c r="D83" s="10">
        <f>B83*C83</f>
        <v>0.01</v>
      </c>
    </row>
    <row r="84" spans="1:4" ht="15.5" x14ac:dyDescent="0.35">
      <c r="A84" s="7" t="s">
        <v>0</v>
      </c>
      <c r="B84" s="13"/>
      <c r="C84" s="15"/>
      <c r="D84" s="74">
        <f>SUM(D80:D83)</f>
        <v>14.261831177569055</v>
      </c>
    </row>
    <row r="85" spans="1:4" ht="15.5" x14ac:dyDescent="0.35">
      <c r="A85" s="7" t="s">
        <v>182</v>
      </c>
      <c r="D85" s="74">
        <f>D84/12</f>
        <v>1.1884859314640879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50"/>
  <sheetViews>
    <sheetView workbookViewId="0">
      <selection activeCell="D28" sqref="D28"/>
    </sheetView>
  </sheetViews>
  <sheetFormatPr defaultRowHeight="12.5" x14ac:dyDescent="0.25"/>
  <cols>
    <col min="1" max="1" width="22.1796875" customWidth="1"/>
    <col min="5" max="5" width="11.453125" customWidth="1"/>
    <col min="6" max="6" width="21.81640625" customWidth="1"/>
    <col min="11" max="11" width="21.542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116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>
        <v>2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107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108</v>
      </c>
      <c r="B18" s="28">
        <v>1.25</v>
      </c>
      <c r="C18" s="10">
        <f>'Ingredient Cost'!D62</f>
        <v>7.55</v>
      </c>
      <c r="D18" s="11">
        <f>B18*C18</f>
        <v>9.4375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109</v>
      </c>
      <c r="B19" s="28">
        <v>0.75</v>
      </c>
      <c r="C19" s="10">
        <v>4.66</v>
      </c>
      <c r="D19" s="11">
        <f>B19*C19</f>
        <v>3.4950000000000001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110</v>
      </c>
      <c r="B20" s="28">
        <v>2.25</v>
      </c>
      <c r="C20" s="10">
        <f>'Ingredient Cost'!D12</f>
        <v>0.74</v>
      </c>
      <c r="D20" s="10">
        <f>B20*C20</f>
        <v>1.665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111</v>
      </c>
      <c r="B21" s="28">
        <v>0.375</v>
      </c>
      <c r="C21" s="10">
        <f>'Ingredient Cost'!D20</f>
        <v>8.9499999999999993</v>
      </c>
      <c r="D21" s="10">
        <f>B21*C21</f>
        <v>3.3562499999999997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/>
      <c r="B22" s="12">
        <f>SUM(B18:B21)</f>
        <v>4.625</v>
      </c>
      <c r="C22" s="10"/>
      <c r="D22" s="10">
        <f>SUM(D18:D21)</f>
        <v>17.953749999999999</v>
      </c>
      <c r="E22" s="13"/>
      <c r="F22" s="6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3" x14ac:dyDescent="0.3">
      <c r="A23" s="13"/>
      <c r="B23" s="13"/>
      <c r="C23" s="15"/>
      <c r="D23" s="14"/>
      <c r="E23" s="13"/>
      <c r="F23" s="13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6" t="s">
        <v>0</v>
      </c>
      <c r="B24" s="13"/>
      <c r="C24" s="15"/>
      <c r="D24" s="19">
        <f>D22/B22</f>
        <v>3.8818918918918919</v>
      </c>
      <c r="E24" s="13"/>
      <c r="F24" s="6"/>
      <c r="G24" s="13"/>
      <c r="H24" s="15"/>
      <c r="I24" s="20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7"/>
      <c r="B25" s="13"/>
      <c r="C25" s="15"/>
      <c r="D25" s="20"/>
      <c r="E25" s="13"/>
      <c r="F25" s="21"/>
      <c r="G25" s="22"/>
      <c r="H25" s="22"/>
      <c r="I25" s="22"/>
      <c r="J25" s="22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7" t="s">
        <v>3</v>
      </c>
      <c r="B26" s="47" t="s">
        <v>112</v>
      </c>
      <c r="C26" s="48"/>
      <c r="D26" s="49"/>
      <c r="F26" s="7" t="s">
        <v>3</v>
      </c>
      <c r="G26" s="47" t="s">
        <v>117</v>
      </c>
      <c r="H26" s="48"/>
      <c r="I26" s="49"/>
      <c r="K26" s="7" t="s">
        <v>3</v>
      </c>
      <c r="L26" s="47" t="s">
        <v>118</v>
      </c>
      <c r="M26" s="48"/>
      <c r="N26" s="49"/>
    </row>
    <row r="27" spans="1:17" ht="15.5" x14ac:dyDescent="0.35">
      <c r="A27" s="6"/>
      <c r="B27" s="7" t="s">
        <v>1</v>
      </c>
      <c r="C27" s="8" t="s">
        <v>2</v>
      </c>
      <c r="D27" s="9" t="s">
        <v>4</v>
      </c>
      <c r="E27" s="13"/>
      <c r="F27" s="6"/>
      <c r="G27" s="7" t="s">
        <v>1</v>
      </c>
      <c r="H27" s="8" t="s">
        <v>2</v>
      </c>
      <c r="I27" s="9" t="s">
        <v>4</v>
      </c>
      <c r="J27" s="13"/>
      <c r="K27" s="6"/>
      <c r="L27" s="7" t="s">
        <v>1</v>
      </c>
      <c r="M27" s="8" t="s">
        <v>2</v>
      </c>
      <c r="N27" s="9" t="s">
        <v>4</v>
      </c>
    </row>
    <row r="28" spans="1:17" ht="15.5" x14ac:dyDescent="0.35">
      <c r="A28" s="6" t="s">
        <v>113</v>
      </c>
      <c r="B28" s="28">
        <v>0.105</v>
      </c>
      <c r="C28" s="10">
        <f>$D$24</f>
        <v>3.8818918918918919</v>
      </c>
      <c r="D28" s="11">
        <f>B28*C28</f>
        <v>0.40759864864864864</v>
      </c>
      <c r="E28" s="13"/>
      <c r="F28" s="6" t="s">
        <v>113</v>
      </c>
      <c r="G28" s="28">
        <v>0.3</v>
      </c>
      <c r="H28" s="10">
        <f>$D$24</f>
        <v>3.8818918918918919</v>
      </c>
      <c r="I28" s="11">
        <f>G28*H28</f>
        <v>1.1645675675675675</v>
      </c>
      <c r="J28" s="13"/>
      <c r="K28" s="6" t="s">
        <v>113</v>
      </c>
      <c r="L28" s="28">
        <v>0.6</v>
      </c>
      <c r="M28" s="10">
        <f>$D$24</f>
        <v>3.8818918918918919</v>
      </c>
      <c r="N28" s="11">
        <f>L28*M28</f>
        <v>2.329135135135135</v>
      </c>
    </row>
    <row r="29" spans="1:17" ht="15.5" x14ac:dyDescent="0.35">
      <c r="A29" s="6" t="s">
        <v>114</v>
      </c>
      <c r="B29" s="28">
        <v>0.03</v>
      </c>
      <c r="C29" s="10">
        <f>'Ingredient Cost'!$D$52</f>
        <v>2</v>
      </c>
      <c r="D29" s="11">
        <f>B29*C29</f>
        <v>0.06</v>
      </c>
      <c r="E29" s="13"/>
      <c r="F29" s="6" t="s">
        <v>114</v>
      </c>
      <c r="G29" s="28">
        <v>0.06</v>
      </c>
      <c r="H29" s="10">
        <f>'Ingredient Cost'!$D$52</f>
        <v>2</v>
      </c>
      <c r="I29" s="11">
        <f>G29*H29</f>
        <v>0.12</v>
      </c>
      <c r="J29" s="13"/>
      <c r="K29" s="6" t="s">
        <v>114</v>
      </c>
      <c r="L29" s="28">
        <v>0.12</v>
      </c>
      <c r="M29" s="10">
        <f>'Ingredient Cost'!$D$52</f>
        <v>2</v>
      </c>
      <c r="N29" s="11">
        <f t="shared" ref="N29:N32" si="0">L29*M29</f>
        <v>0.24</v>
      </c>
    </row>
    <row r="30" spans="1:17" ht="15.5" x14ac:dyDescent="0.35">
      <c r="A30" s="6" t="s">
        <v>152</v>
      </c>
      <c r="B30" s="80"/>
      <c r="C30" s="81">
        <f>'Pastry Costing'!F30</f>
        <v>0.2107946902228468</v>
      </c>
      <c r="D30" s="10">
        <f>'Pastry Costing'!F30</f>
        <v>0.2107946902228468</v>
      </c>
      <c r="E30" s="13"/>
      <c r="F30" s="6" t="s">
        <v>151</v>
      </c>
      <c r="G30" s="80"/>
      <c r="H30" s="81">
        <f>'Pastry Costing'!K30</f>
        <v>0</v>
      </c>
      <c r="I30" s="10">
        <f>'Pastry Costing'!F31</f>
        <v>0.34141430034129694</v>
      </c>
      <c r="J30" s="13"/>
      <c r="K30" s="6" t="s">
        <v>151</v>
      </c>
      <c r="L30" s="28"/>
      <c r="M30" s="81">
        <f>'Pastry Costing'!P30</f>
        <v>0</v>
      </c>
      <c r="N30" s="10">
        <f>'Pastry Costing'!F32</f>
        <v>0.52407440273037542</v>
      </c>
    </row>
    <row r="31" spans="1:17" ht="15.5" x14ac:dyDescent="0.35">
      <c r="A31" s="7" t="s">
        <v>106</v>
      </c>
      <c r="B31" s="28"/>
      <c r="C31" s="10">
        <f>'Ingredient Cost'!$D$95</f>
        <v>0.09</v>
      </c>
      <c r="D31" s="10">
        <f>C31</f>
        <v>0.09</v>
      </c>
      <c r="E31" s="13"/>
      <c r="F31" s="7" t="s">
        <v>106</v>
      </c>
      <c r="G31" s="28"/>
      <c r="H31" s="10">
        <f>'Ingredient Cost'!$D$95</f>
        <v>0.09</v>
      </c>
      <c r="I31" s="10">
        <f>H31</f>
        <v>0.09</v>
      </c>
      <c r="J31" s="13"/>
      <c r="K31" s="7" t="s">
        <v>106</v>
      </c>
      <c r="L31" s="28"/>
      <c r="M31" s="10">
        <f>'Ingredient Cost'!$D$95</f>
        <v>0.09</v>
      </c>
      <c r="N31" s="11">
        <f>M31</f>
        <v>0.09</v>
      </c>
    </row>
    <row r="32" spans="1:17" ht="15.5" x14ac:dyDescent="0.35">
      <c r="A32" s="7" t="s">
        <v>115</v>
      </c>
      <c r="B32" s="28"/>
      <c r="C32" s="10">
        <f>'Ingredient Cost'!$C$36</f>
        <v>0</v>
      </c>
      <c r="D32" s="10">
        <f>B32*C32</f>
        <v>0</v>
      </c>
      <c r="E32" s="13"/>
      <c r="F32" s="7" t="s">
        <v>115</v>
      </c>
      <c r="G32" s="28"/>
      <c r="H32" s="10">
        <f>'Ingredient Cost'!$C$36</f>
        <v>0</v>
      </c>
      <c r="I32" s="10">
        <f>G32*H32</f>
        <v>0</v>
      </c>
      <c r="J32" s="13"/>
      <c r="K32" s="7" t="s">
        <v>115</v>
      </c>
      <c r="L32" s="28"/>
      <c r="M32" s="10">
        <f>'Ingredient Cost'!$C$36</f>
        <v>0</v>
      </c>
      <c r="N32" s="11">
        <f t="shared" si="0"/>
        <v>0</v>
      </c>
    </row>
    <row r="33" spans="1:14" ht="15.5" x14ac:dyDescent="0.35">
      <c r="A33" s="7" t="s">
        <v>173</v>
      </c>
      <c r="B33" s="28">
        <v>90</v>
      </c>
      <c r="C33" s="10">
        <f>'Steak Pie v2'!$C$53</f>
        <v>20</v>
      </c>
      <c r="D33" s="10">
        <f>C33/B33</f>
        <v>0.22222222222222221</v>
      </c>
      <c r="E33" s="13"/>
      <c r="F33" s="7" t="s">
        <v>175</v>
      </c>
      <c r="G33" s="28">
        <v>48</v>
      </c>
      <c r="H33" s="10">
        <f>'Steak Pie v2'!$C$53</f>
        <v>20</v>
      </c>
      <c r="I33" s="10">
        <f>H33/G33</f>
        <v>0.41666666666666669</v>
      </c>
      <c r="J33" s="13"/>
      <c r="K33" s="7" t="s">
        <v>176</v>
      </c>
      <c r="L33" s="28">
        <v>32</v>
      </c>
      <c r="M33" s="10">
        <f>'Steak Pie v2'!$C$53</f>
        <v>20</v>
      </c>
      <c r="N33" s="10">
        <f>M33/L33</f>
        <v>0.625</v>
      </c>
    </row>
    <row r="34" spans="1:14" ht="15.5" x14ac:dyDescent="0.35">
      <c r="A34" s="7"/>
      <c r="B34" s="12"/>
      <c r="C34" s="10"/>
      <c r="D34" s="10"/>
      <c r="E34" s="13"/>
      <c r="F34" s="7"/>
      <c r="G34" s="12"/>
      <c r="H34" s="10"/>
      <c r="I34" s="10"/>
      <c r="J34" s="13"/>
      <c r="K34" s="7"/>
      <c r="L34" s="12"/>
      <c r="M34" s="10"/>
      <c r="N34" s="10"/>
    </row>
    <row r="35" spans="1:14" ht="13" x14ac:dyDescent="0.3">
      <c r="A35" s="13"/>
      <c r="B35" s="13"/>
      <c r="C35" s="15"/>
      <c r="D35" s="14"/>
      <c r="E35" s="13"/>
      <c r="F35" s="13"/>
      <c r="G35" s="13"/>
      <c r="H35" s="15"/>
      <c r="I35" s="14"/>
      <c r="J35" s="13"/>
      <c r="K35" s="13"/>
      <c r="L35" s="13"/>
      <c r="M35" s="15"/>
      <c r="N35" s="14"/>
    </row>
    <row r="36" spans="1:14" ht="15.5" x14ac:dyDescent="0.35">
      <c r="A36" s="6" t="s">
        <v>0</v>
      </c>
      <c r="B36" s="13"/>
      <c r="C36" s="15"/>
      <c r="D36" s="19">
        <f>D28+D29+D30+D31+D32+D33</f>
        <v>0.99061556109371762</v>
      </c>
      <c r="E36" s="13"/>
      <c r="F36" s="6" t="s">
        <v>0</v>
      </c>
      <c r="G36" s="13"/>
      <c r="H36" s="15"/>
      <c r="I36" s="19">
        <f>I28+I29+I30+I31+I32+I33</f>
        <v>2.1326485345755315</v>
      </c>
      <c r="J36" s="13"/>
      <c r="K36" s="6" t="s">
        <v>0</v>
      </c>
      <c r="L36" s="13"/>
      <c r="M36" s="15"/>
      <c r="N36" s="19">
        <f>N28+N29+N30+N31+N32+N33</f>
        <v>3.8082095378655105</v>
      </c>
    </row>
    <row r="38" spans="1:14" ht="15.5" x14ac:dyDescent="0.35">
      <c r="A38" s="7" t="s">
        <v>3</v>
      </c>
      <c r="B38" s="47" t="s">
        <v>171</v>
      </c>
      <c r="C38" s="48"/>
      <c r="D38" s="49"/>
      <c r="F38" s="7" t="s">
        <v>3</v>
      </c>
      <c r="G38" s="47" t="s">
        <v>185</v>
      </c>
      <c r="H38" s="48"/>
      <c r="I38" s="49"/>
      <c r="K38" s="7"/>
      <c r="L38" s="47"/>
      <c r="M38" s="48"/>
      <c r="N38" s="49"/>
    </row>
    <row r="39" spans="1:14" ht="15.5" x14ac:dyDescent="0.35">
      <c r="A39" s="6"/>
      <c r="B39" s="7" t="s">
        <v>170</v>
      </c>
      <c r="C39" s="8" t="s">
        <v>2</v>
      </c>
      <c r="D39" s="9" t="s">
        <v>4</v>
      </c>
      <c r="E39" s="13"/>
      <c r="F39" s="6"/>
      <c r="G39" s="7" t="s">
        <v>1</v>
      </c>
      <c r="H39" s="8" t="s">
        <v>2</v>
      </c>
      <c r="I39" s="9" t="s">
        <v>4</v>
      </c>
      <c r="J39" s="13"/>
      <c r="K39" s="7"/>
      <c r="L39" s="7"/>
      <c r="M39" s="8"/>
      <c r="N39" s="8"/>
    </row>
    <row r="40" spans="1:14" ht="15.5" x14ac:dyDescent="0.35">
      <c r="A40" s="6" t="s">
        <v>138</v>
      </c>
      <c r="B40" s="28">
        <v>9</v>
      </c>
      <c r="C40" s="10">
        <f>D36</f>
        <v>0.99061556109371762</v>
      </c>
      <c r="D40" s="11">
        <f>B40*C40</f>
        <v>8.9155400498434592</v>
      </c>
      <c r="E40" s="13"/>
      <c r="F40" s="6" t="s">
        <v>138</v>
      </c>
      <c r="G40" s="28">
        <v>6</v>
      </c>
      <c r="H40" s="10">
        <f>I36</f>
        <v>2.1326485345755315</v>
      </c>
      <c r="I40" s="11">
        <f>G40*H40</f>
        <v>12.795891207453188</v>
      </c>
      <c r="J40" s="13"/>
      <c r="K40" s="7"/>
      <c r="L40" s="13"/>
      <c r="M40" s="15"/>
      <c r="N40" s="74"/>
    </row>
    <row r="41" spans="1:14" ht="15.5" x14ac:dyDescent="0.35">
      <c r="A41" s="6" t="s">
        <v>169</v>
      </c>
      <c r="B41" s="28">
        <v>1</v>
      </c>
      <c r="C41" s="10">
        <f>'Ingredient Cost'!D86</f>
        <v>0.12</v>
      </c>
      <c r="D41" s="11">
        <f>B41*C41</f>
        <v>0.12</v>
      </c>
      <c r="E41" s="13"/>
      <c r="F41" s="6" t="s">
        <v>94</v>
      </c>
      <c r="G41" s="28">
        <v>1</v>
      </c>
      <c r="H41" s="10">
        <f>C41</f>
        <v>0.12</v>
      </c>
      <c r="I41" s="11">
        <f>G41*H41</f>
        <v>0.12</v>
      </c>
      <c r="J41" s="13"/>
      <c r="K41" s="7"/>
      <c r="L41" s="13"/>
      <c r="M41" s="15"/>
      <c r="N41" s="74"/>
    </row>
    <row r="42" spans="1:14" ht="15.5" x14ac:dyDescent="0.35">
      <c r="A42" s="6" t="s">
        <v>139</v>
      </c>
      <c r="B42" s="28">
        <v>9</v>
      </c>
      <c r="C42" s="10">
        <f>'Ingredient Cost'!D89</f>
        <v>0.06</v>
      </c>
      <c r="D42" s="10">
        <f>B42*C42</f>
        <v>0.54</v>
      </c>
      <c r="E42" s="13"/>
      <c r="F42" s="6" t="s">
        <v>139</v>
      </c>
      <c r="G42" s="28">
        <v>6</v>
      </c>
      <c r="H42" s="10">
        <v>0.1</v>
      </c>
      <c r="I42" s="10">
        <f>G42*H42</f>
        <v>0.60000000000000009</v>
      </c>
      <c r="J42" s="13"/>
      <c r="K42" s="7"/>
      <c r="L42" s="13"/>
      <c r="M42" s="15"/>
      <c r="N42" s="15"/>
    </row>
    <row r="43" spans="1:14" ht="15.5" x14ac:dyDescent="0.35">
      <c r="A43" s="7" t="s">
        <v>66</v>
      </c>
      <c r="B43" s="28">
        <v>1</v>
      </c>
      <c r="C43" s="10">
        <f>'Ingredient Cost'!D108</f>
        <v>0.2</v>
      </c>
      <c r="D43" s="10">
        <f>B43*C43</f>
        <v>0.2</v>
      </c>
      <c r="E43" s="13"/>
      <c r="F43" s="7" t="s">
        <v>66</v>
      </c>
      <c r="G43" s="28">
        <v>1</v>
      </c>
      <c r="H43" s="10">
        <f>C43</f>
        <v>0.2</v>
      </c>
      <c r="I43" s="10">
        <f>G43*H43</f>
        <v>0.2</v>
      </c>
      <c r="J43" s="13"/>
      <c r="K43" s="7"/>
      <c r="L43" s="13"/>
      <c r="M43" s="15"/>
      <c r="N43" s="15"/>
    </row>
    <row r="44" spans="1:14" ht="15.5" x14ac:dyDescent="0.35">
      <c r="A44" s="7" t="s">
        <v>177</v>
      </c>
      <c r="B44" s="28"/>
      <c r="C44" s="10">
        <v>0.12</v>
      </c>
      <c r="D44" s="10">
        <f>C44</f>
        <v>0.12</v>
      </c>
      <c r="E44" s="13"/>
      <c r="F44" s="7" t="s">
        <v>180</v>
      </c>
      <c r="G44" s="28">
        <v>20</v>
      </c>
      <c r="H44" s="10">
        <f>C33</f>
        <v>20</v>
      </c>
      <c r="I44" s="10">
        <f>H44/G44</f>
        <v>1</v>
      </c>
      <c r="J44" s="13"/>
      <c r="K44" s="7"/>
      <c r="L44" s="13"/>
      <c r="M44" s="15"/>
      <c r="N44" s="15"/>
    </row>
    <row r="45" spans="1:14" ht="15.5" x14ac:dyDescent="0.35">
      <c r="A45" s="84" t="s">
        <v>179</v>
      </c>
      <c r="B45" s="28">
        <v>20</v>
      </c>
      <c r="C45" s="10">
        <f>C33</f>
        <v>20</v>
      </c>
      <c r="D45" s="10">
        <f>C45/B45</f>
        <v>1</v>
      </c>
      <c r="E45" s="13"/>
      <c r="F45" s="7" t="s">
        <v>67</v>
      </c>
      <c r="G45" s="28">
        <v>6</v>
      </c>
      <c r="H45" s="10">
        <f>'Steak Pie v2'!H64</f>
        <v>0.01</v>
      </c>
      <c r="I45" s="10">
        <f>G45*H45</f>
        <v>0.06</v>
      </c>
      <c r="J45" s="13"/>
      <c r="K45" s="7"/>
      <c r="L45" s="13"/>
      <c r="M45" s="15"/>
      <c r="N45" s="15"/>
    </row>
    <row r="46" spans="1:14" ht="15.5" x14ac:dyDescent="0.35">
      <c r="A46" s="7"/>
      <c r="B46" s="12"/>
      <c r="C46" s="10"/>
      <c r="D46" s="10"/>
      <c r="E46" s="13"/>
      <c r="F46" s="7" t="s">
        <v>184</v>
      </c>
      <c r="G46" s="28">
        <v>6</v>
      </c>
      <c r="H46" s="10">
        <v>0.01</v>
      </c>
      <c r="I46" s="10">
        <f>G46*H46</f>
        <v>0.06</v>
      </c>
      <c r="J46" s="13"/>
      <c r="K46" s="7"/>
      <c r="L46" s="13"/>
      <c r="M46" s="15"/>
      <c r="N46" s="15"/>
    </row>
    <row r="47" spans="1:14" ht="15.5" x14ac:dyDescent="0.35">
      <c r="A47" s="13"/>
      <c r="B47" s="13"/>
      <c r="C47" s="15"/>
      <c r="D47" s="14"/>
      <c r="E47" s="13"/>
      <c r="F47" s="7"/>
      <c r="G47" s="12"/>
      <c r="H47" s="10"/>
      <c r="I47" s="10"/>
      <c r="J47" s="13"/>
      <c r="K47" s="13"/>
      <c r="L47" s="13"/>
      <c r="M47" s="15"/>
      <c r="N47" s="15"/>
    </row>
    <row r="48" spans="1:14" ht="15.5" x14ac:dyDescent="0.35">
      <c r="A48" s="6" t="s">
        <v>172</v>
      </c>
      <c r="B48" s="13"/>
      <c r="C48" s="15"/>
      <c r="D48" s="19">
        <f>D40+D41+D42+D43+D44+D45</f>
        <v>10.895540049843456</v>
      </c>
      <c r="E48" s="13"/>
      <c r="F48" s="13"/>
      <c r="G48" s="13"/>
      <c r="H48" s="15"/>
      <c r="I48" s="14"/>
      <c r="J48" s="13"/>
      <c r="K48" s="7"/>
      <c r="L48" s="13"/>
      <c r="M48" s="15"/>
      <c r="N48" s="82"/>
    </row>
    <row r="49" spans="1:9" ht="15.5" x14ac:dyDescent="0.35">
      <c r="A49" s="7" t="s">
        <v>182</v>
      </c>
      <c r="D49" s="85">
        <f>D48/9</f>
        <v>1.2106155610937173</v>
      </c>
      <c r="F49" s="6" t="s">
        <v>0</v>
      </c>
      <c r="G49" s="13"/>
      <c r="H49" s="15"/>
      <c r="I49" s="19">
        <f>I40+I41+I42+I43+I44+I45+I46</f>
        <v>14.835891207453187</v>
      </c>
    </row>
    <row r="50" spans="1:9" ht="15.5" x14ac:dyDescent="0.35">
      <c r="F50" s="7" t="s">
        <v>182</v>
      </c>
      <c r="I50" s="74">
        <f>I49/6</f>
        <v>2.4726485345755314</v>
      </c>
    </row>
  </sheetData>
  <mergeCells count="4">
    <mergeCell ref="A1:Q1"/>
    <mergeCell ref="A2:Q2"/>
    <mergeCell ref="A3:E3"/>
    <mergeCell ref="B4:H14"/>
  </mergeCells>
  <pageMargins left="0.7" right="0.7" top="0.75" bottom="0.75" header="0.3" footer="0.3"/>
  <pageSetup paperSize="9" scale="65" orientation="landscape" horizontalDpi="4294967293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8198-9391-4BAE-8DB9-5810F3BF14EE}">
  <sheetPr>
    <tabColor rgb="FF92D050"/>
  </sheetPr>
  <dimension ref="A1:Q85"/>
  <sheetViews>
    <sheetView showGridLines="0" workbookViewId="0">
      <selection activeCell="A24" sqref="A24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191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108</v>
      </c>
      <c r="B20" s="28">
        <v>1.25</v>
      </c>
      <c r="C20" s="10">
        <f>'Ingredient Cost'!D62</f>
        <v>7.55</v>
      </c>
      <c r="D20" s="11">
        <f>B20*C20</f>
        <v>9.4375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524</v>
      </c>
      <c r="B21" s="28">
        <v>0.3</v>
      </c>
      <c r="C21" s="10">
        <f>'Ingredient Cost'!D63</f>
        <v>6</v>
      </c>
      <c r="D21" s="11">
        <f>B21*C21</f>
        <v>1.7999999999999998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110</v>
      </c>
      <c r="B22" s="28">
        <v>2.25</v>
      </c>
      <c r="C22" s="10">
        <f>'Ingredient Cost'!D12</f>
        <v>0.74</v>
      </c>
      <c r="D22" s="10">
        <f>B22*C22</f>
        <v>1.665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111</v>
      </c>
      <c r="B23" s="28">
        <v>0.375</v>
      </c>
      <c r="C23" s="10">
        <f>'Ingredient Cost'!D20</f>
        <v>8.9499999999999993</v>
      </c>
      <c r="D23" s="10">
        <f>B23*C23</f>
        <v>3.3562499999999997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 t="s">
        <v>4</v>
      </c>
      <c r="B24" s="12">
        <f>SUM(B20:B23)</f>
        <v>4.1749999999999998</v>
      </c>
      <c r="C24" s="10"/>
      <c r="D24" s="10">
        <f>SUM(D20:D23)</f>
        <v>16.258749999999999</v>
      </c>
      <c r="E24" s="158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5"/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20">
        <f>D24/B24</f>
        <v>3.8943113772455091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6" t="s">
        <v>113</v>
      </c>
      <c r="B32" s="28">
        <v>0.129</v>
      </c>
      <c r="C32" s="10">
        <f>$D$26</f>
        <v>3.8943113772455091</v>
      </c>
      <c r="D32" s="11">
        <f>B32*C32</f>
        <v>0.50236616766467068</v>
      </c>
      <c r="E32" s="13"/>
      <c r="F32" s="171" t="s">
        <v>113</v>
      </c>
      <c r="G32" s="170">
        <v>0.3</v>
      </c>
      <c r="H32" s="10">
        <f>$D$26</f>
        <v>3.8943113772455091</v>
      </c>
      <c r="I32" s="11">
        <f>G32*H32</f>
        <v>1.1682934131736527</v>
      </c>
      <c r="J32" s="13"/>
      <c r="K32" s="171" t="s">
        <v>113</v>
      </c>
      <c r="L32" s="170">
        <v>0.6</v>
      </c>
      <c r="M32" s="10">
        <f>$D$26</f>
        <v>3.8943113772455091</v>
      </c>
      <c r="N32" s="11">
        <f>L32*M32</f>
        <v>2.3365868263473053</v>
      </c>
    </row>
    <row r="33" spans="1:14" ht="15.5" x14ac:dyDescent="0.35">
      <c r="A33" s="6" t="s">
        <v>152</v>
      </c>
      <c r="B33" s="80"/>
      <c r="C33" s="81">
        <f>'Pastry Costing'!F34</f>
        <v>0</v>
      </c>
      <c r="D33" s="10">
        <f>'Pastry Costing'!F30</f>
        <v>0.2107946902228468</v>
      </c>
      <c r="E33" s="13"/>
      <c r="F33" s="171" t="s">
        <v>152</v>
      </c>
      <c r="G33" s="211"/>
      <c r="H33" s="81">
        <f>'Pastry Costing'!K34</f>
        <v>0</v>
      </c>
      <c r="I33" s="10">
        <f>'Pastry Costing'!F31</f>
        <v>0.34141430034129694</v>
      </c>
      <c r="J33" s="13"/>
      <c r="K33" s="171" t="s">
        <v>152</v>
      </c>
      <c r="L33" s="170"/>
      <c r="M33" s="81">
        <f>'Pastry Costing'!P34</f>
        <v>0</v>
      </c>
      <c r="N33" s="10">
        <f>'Pastry Costing'!F32</f>
        <v>0.52407440273037542</v>
      </c>
    </row>
    <row r="34" spans="1:14" ht="15.5" x14ac:dyDescent="0.35">
      <c r="A34" s="7" t="s">
        <v>106</v>
      </c>
      <c r="B34" s="28"/>
      <c r="C34" s="10">
        <f>'Ingredient Cost'!$D$95</f>
        <v>0.09</v>
      </c>
      <c r="D34" s="10">
        <f>C34</f>
        <v>0.09</v>
      </c>
      <c r="E34" s="13"/>
      <c r="F34" s="7" t="s">
        <v>106</v>
      </c>
      <c r="G34" s="28"/>
      <c r="H34" s="10">
        <f>'Ingredient Cost'!$D$95</f>
        <v>0.09</v>
      </c>
      <c r="I34" s="10">
        <f>H34</f>
        <v>0.09</v>
      </c>
      <c r="J34" s="13"/>
      <c r="K34" s="7" t="s">
        <v>106</v>
      </c>
      <c r="L34" s="28"/>
      <c r="M34" s="10">
        <f>'Ingredient Cost'!$D$95</f>
        <v>0.09</v>
      </c>
      <c r="N34" s="11">
        <f>M34</f>
        <v>0.09</v>
      </c>
    </row>
    <row r="35" spans="1:14" ht="15.5" x14ac:dyDescent="0.35">
      <c r="A35" s="7" t="s">
        <v>115</v>
      </c>
      <c r="B35" s="28">
        <v>1</v>
      </c>
      <c r="C35" s="10">
        <f>'Ingredient Cost'!$D$11</f>
        <v>0.02</v>
      </c>
      <c r="D35" s="10">
        <f>B35*C35</f>
        <v>0.02</v>
      </c>
      <c r="E35" s="13"/>
      <c r="F35" s="7" t="s">
        <v>115</v>
      </c>
      <c r="G35" s="28">
        <v>1</v>
      </c>
      <c r="H35" s="10">
        <f>'Ingredient Cost'!$D$11</f>
        <v>0.02</v>
      </c>
      <c r="I35" s="10">
        <f>G35*H35</f>
        <v>0.02</v>
      </c>
      <c r="J35" s="13"/>
      <c r="K35" s="7" t="s">
        <v>115</v>
      </c>
      <c r="L35" s="28">
        <v>1</v>
      </c>
      <c r="M35" s="10">
        <f>'Ingredient Cost'!$D$11</f>
        <v>0.02</v>
      </c>
      <c r="N35" s="10">
        <f>L35*M35</f>
        <v>0.02</v>
      </c>
    </row>
    <row r="36" spans="1:14" ht="15.5" x14ac:dyDescent="0.35">
      <c r="A36" s="7" t="s">
        <v>0</v>
      </c>
      <c r="B36" s="13"/>
      <c r="C36" s="15"/>
      <c r="D36" s="74">
        <f>SUM(D32:D33)</f>
        <v>0.71316085788751749</v>
      </c>
      <c r="E36" s="13"/>
      <c r="F36" s="7" t="s">
        <v>0</v>
      </c>
      <c r="G36" s="13"/>
      <c r="H36" s="15"/>
      <c r="I36" s="74">
        <f>SUM(I32:I33)</f>
        <v>1.5097077135149495</v>
      </c>
      <c r="J36" s="13"/>
      <c r="K36" s="7" t="s">
        <v>0</v>
      </c>
      <c r="L36" s="13"/>
      <c r="M36" s="15"/>
      <c r="N36" s="74">
        <f>SUM(N32:N33)</f>
        <v>2.8606612290776807</v>
      </c>
    </row>
    <row r="37" spans="1:14" ht="15.5" x14ac:dyDescent="0.35">
      <c r="A37" s="7"/>
      <c r="B37" s="13"/>
      <c r="C37" s="15"/>
      <c r="D37" s="74"/>
      <c r="E37" s="13"/>
      <c r="F37" s="7"/>
      <c r="G37" s="13"/>
      <c r="H37" s="15"/>
      <c r="I37" s="74"/>
      <c r="J37" s="13"/>
      <c r="K37" s="7"/>
      <c r="L37" s="13"/>
      <c r="M37" s="15"/>
      <c r="N37" s="74"/>
    </row>
    <row r="38" spans="1:14" ht="15.5" x14ac:dyDescent="0.35">
      <c r="A38" s="164" t="s">
        <v>460</v>
      </c>
      <c r="B38" s="166"/>
      <c r="C38" s="167"/>
      <c r="D38" s="188"/>
      <c r="E38" s="166"/>
      <c r="F38" s="164"/>
      <c r="G38" s="166"/>
      <c r="H38" s="167"/>
      <c r="I38" s="188"/>
      <c r="J38" s="166"/>
      <c r="K38" s="164"/>
      <c r="L38" s="166"/>
      <c r="M38" s="167"/>
      <c r="N38" s="188"/>
    </row>
    <row r="39" spans="1:14" ht="15.5" x14ac:dyDescent="0.35">
      <c r="A39" s="7"/>
      <c r="B39" s="13"/>
      <c r="C39" s="15"/>
      <c r="D39" s="74"/>
      <c r="E39" s="13"/>
      <c r="F39" s="7"/>
      <c r="G39" s="13"/>
      <c r="H39" s="15"/>
      <c r="I39" s="74"/>
      <c r="J39" s="13"/>
      <c r="K39" s="7"/>
      <c r="L39" s="13"/>
      <c r="M39" s="15"/>
      <c r="N39" s="74"/>
    </row>
    <row r="40" spans="1:14" ht="15.5" x14ac:dyDescent="0.35">
      <c r="A40" s="159" t="s">
        <v>459</v>
      </c>
      <c r="B40" s="160"/>
      <c r="C40" s="161"/>
      <c r="D40" s="162"/>
      <c r="F40" s="159" t="s">
        <v>42</v>
      </c>
      <c r="G40" s="159"/>
      <c r="H40" s="161"/>
      <c r="I40" s="162"/>
      <c r="K40" s="159" t="s">
        <v>43</v>
      </c>
      <c r="L40" s="160"/>
      <c r="M40" s="161"/>
      <c r="N40" s="162"/>
    </row>
    <row r="41" spans="1:14" ht="15.5" x14ac:dyDescent="0.35">
      <c r="A41" s="6"/>
      <c r="B41" s="7" t="s">
        <v>1</v>
      </c>
      <c r="C41" s="8" t="s">
        <v>2</v>
      </c>
      <c r="D41" s="8" t="s">
        <v>4</v>
      </c>
      <c r="E41" s="13"/>
      <c r="F41" s="7"/>
      <c r="G41" s="7" t="s">
        <v>1</v>
      </c>
      <c r="H41" s="8" t="s">
        <v>2</v>
      </c>
      <c r="I41" s="8" t="s">
        <v>4</v>
      </c>
      <c r="J41" s="13"/>
      <c r="K41" s="7"/>
      <c r="L41" s="7" t="s">
        <v>1</v>
      </c>
      <c r="M41" s="8" t="s">
        <v>2</v>
      </c>
      <c r="N41" s="8" t="s">
        <v>4</v>
      </c>
    </row>
    <row r="42" spans="1:14" ht="15.5" x14ac:dyDescent="0.35">
      <c r="A42" s="171" t="s">
        <v>449</v>
      </c>
      <c r="B42" s="170">
        <v>1</v>
      </c>
      <c r="C42" s="10">
        <f>$D$36</f>
        <v>0.71316085788751749</v>
      </c>
      <c r="D42" s="156">
        <f>B42*C42</f>
        <v>0.71316085788751749</v>
      </c>
      <c r="E42" s="158"/>
      <c r="F42" s="171" t="s">
        <v>449</v>
      </c>
      <c r="G42" s="170">
        <v>1</v>
      </c>
      <c r="H42" s="10">
        <f>$I$36</f>
        <v>1.5097077135149495</v>
      </c>
      <c r="I42" s="156">
        <f>G42*H42</f>
        <v>1.5097077135149495</v>
      </c>
      <c r="J42" s="158"/>
      <c r="K42" s="171" t="s">
        <v>449</v>
      </c>
      <c r="L42" s="170">
        <v>1</v>
      </c>
      <c r="M42" s="10">
        <f>$N$36</f>
        <v>2.8606612290776807</v>
      </c>
      <c r="N42" s="11">
        <f>L42*M42</f>
        <v>2.8606612290776807</v>
      </c>
    </row>
    <row r="43" spans="1:14" ht="15.5" x14ac:dyDescent="0.35">
      <c r="A43" s="7" t="s">
        <v>106</v>
      </c>
      <c r="B43" s="28">
        <v>1</v>
      </c>
      <c r="C43" s="10">
        <f>'Ingredient Cost'!$D$95</f>
        <v>0.09</v>
      </c>
      <c r="D43" s="10">
        <f>B43*C43</f>
        <v>0.09</v>
      </c>
      <c r="E43" s="13"/>
      <c r="F43" s="7" t="s">
        <v>106</v>
      </c>
      <c r="G43" s="28">
        <v>1</v>
      </c>
      <c r="H43" s="10">
        <f>'Ingredient Cost'!$D$83</f>
        <v>7.0000000000000007E-2</v>
      </c>
      <c r="I43" s="157">
        <f>G43*H43</f>
        <v>7.0000000000000007E-2</v>
      </c>
      <c r="J43" s="158"/>
      <c r="K43" s="7" t="s">
        <v>106</v>
      </c>
      <c r="L43" s="28">
        <v>1</v>
      </c>
      <c r="M43" s="10">
        <f>'Ingredient Cost'!$D$83</f>
        <v>7.0000000000000007E-2</v>
      </c>
      <c r="N43" s="10">
        <f>L43*M43</f>
        <v>7.0000000000000007E-2</v>
      </c>
    </row>
    <row r="44" spans="1:14" ht="15.5" x14ac:dyDescent="0.35">
      <c r="A44" s="7" t="s">
        <v>139</v>
      </c>
      <c r="B44" s="28">
        <v>1</v>
      </c>
      <c r="C44" s="10">
        <f>'Ingredient Cost'!$D$89</f>
        <v>0.06</v>
      </c>
      <c r="D44" s="10">
        <f>B44*C44</f>
        <v>0.06</v>
      </c>
      <c r="E44" s="13"/>
      <c r="F44" s="7" t="s">
        <v>139</v>
      </c>
      <c r="G44" s="28">
        <v>1</v>
      </c>
      <c r="H44" s="10">
        <v>0.22</v>
      </c>
      <c r="I44" s="157">
        <f>H44*G44</f>
        <v>0.22</v>
      </c>
      <c r="J44" s="158"/>
      <c r="K44" s="7" t="s">
        <v>139</v>
      </c>
      <c r="L44" s="28">
        <v>1</v>
      </c>
      <c r="M44" s="10">
        <v>0.3</v>
      </c>
      <c r="N44" s="10">
        <v>0.3</v>
      </c>
    </row>
    <row r="45" spans="1:14" ht="15.5" x14ac:dyDescent="0.35">
      <c r="F45" s="7" t="s">
        <v>67</v>
      </c>
      <c r="G45" s="28">
        <v>1</v>
      </c>
      <c r="H45" s="10">
        <v>0.15</v>
      </c>
      <c r="I45" s="10">
        <v>0.15</v>
      </c>
      <c r="K45" s="7" t="s">
        <v>67</v>
      </c>
      <c r="L45" s="28">
        <v>1</v>
      </c>
      <c r="M45" s="10">
        <v>0.15</v>
      </c>
      <c r="N45" s="10">
        <v>0.15</v>
      </c>
    </row>
    <row r="46" spans="1:14" ht="15.5" x14ac:dyDescent="0.35">
      <c r="A46" s="6" t="s">
        <v>0</v>
      </c>
      <c r="B46" s="13"/>
      <c r="C46" s="15"/>
      <c r="D46" s="74">
        <f>SUM(D42:D44)</f>
        <v>0.8631608578875174</v>
      </c>
      <c r="E46" s="13"/>
      <c r="F46" s="7" t="s">
        <v>0</v>
      </c>
      <c r="G46" s="13"/>
      <c r="H46" s="15"/>
      <c r="I46" s="74">
        <f>SUM(I42:I45)</f>
        <v>1.9497077135149494</v>
      </c>
      <c r="J46" s="13"/>
      <c r="K46" s="7" t="s">
        <v>0</v>
      </c>
      <c r="L46" s="13"/>
      <c r="M46" s="15"/>
      <c r="N46" s="74">
        <f>SUM(N42:N45)</f>
        <v>3.3806612290776803</v>
      </c>
    </row>
    <row r="47" spans="1:14" ht="15.5" x14ac:dyDescent="0.35">
      <c r="A47" s="7"/>
      <c r="B47" s="13"/>
      <c r="C47" s="15"/>
      <c r="D47" s="74"/>
      <c r="E47" s="13"/>
      <c r="F47" s="7"/>
      <c r="G47" s="13"/>
      <c r="H47" s="15"/>
      <c r="I47" s="74"/>
      <c r="J47" s="13"/>
      <c r="K47" s="7"/>
      <c r="L47" s="13"/>
      <c r="M47" s="15"/>
      <c r="N47" s="74"/>
    </row>
    <row r="49" spans="1:17" ht="15.5" x14ac:dyDescent="0.35">
      <c r="A49" s="164" t="s">
        <v>461</v>
      </c>
      <c r="B49" s="165"/>
      <c r="C49" s="167"/>
      <c r="D49" s="189" t="s">
        <v>462</v>
      </c>
      <c r="E49" s="164" t="s">
        <v>456</v>
      </c>
      <c r="F49" s="164"/>
      <c r="G49" s="166"/>
      <c r="H49" s="167"/>
      <c r="I49" s="168"/>
      <c r="J49" s="166"/>
      <c r="K49" s="169"/>
      <c r="L49" s="169"/>
      <c r="M49" s="166"/>
      <c r="N49" s="166"/>
      <c r="O49" s="13"/>
      <c r="P49" s="13"/>
      <c r="Q49" s="13"/>
    </row>
    <row r="50" spans="1:17" ht="15.5" x14ac:dyDescent="0.35">
      <c r="A50" s="7"/>
      <c r="B50" s="13"/>
      <c r="C50" s="15"/>
      <c r="D50" s="20"/>
      <c r="E50" s="13"/>
      <c r="F50" s="22"/>
      <c r="G50" s="22"/>
      <c r="H50" s="22"/>
      <c r="I50" s="22"/>
      <c r="J50" s="22"/>
      <c r="K50" s="22"/>
      <c r="L50" s="22"/>
      <c r="M50" s="13"/>
      <c r="N50" s="13"/>
      <c r="O50" s="13"/>
      <c r="P50" s="13"/>
      <c r="Q50" s="13"/>
    </row>
    <row r="51" spans="1:17" ht="15.5" x14ac:dyDescent="0.35">
      <c r="A51" s="159" t="s">
        <v>166</v>
      </c>
      <c r="B51" s="160"/>
      <c r="C51" s="161"/>
      <c r="D51" s="162"/>
      <c r="F51" s="159" t="s">
        <v>42</v>
      </c>
      <c r="G51" s="159"/>
      <c r="H51" s="161"/>
      <c r="I51" s="162"/>
      <c r="K51" s="159" t="s">
        <v>43</v>
      </c>
      <c r="L51" s="160"/>
      <c r="M51" s="161"/>
      <c r="N51" s="162"/>
    </row>
    <row r="52" spans="1:17" ht="15.5" x14ac:dyDescent="0.35">
      <c r="A52" s="6"/>
      <c r="B52" s="7" t="s">
        <v>1</v>
      </c>
      <c r="C52" s="8" t="s">
        <v>2</v>
      </c>
      <c r="D52" s="8" t="s">
        <v>4</v>
      </c>
      <c r="E52" s="13"/>
      <c r="F52" s="7"/>
      <c r="G52" s="7" t="s">
        <v>1</v>
      </c>
      <c r="H52" s="8" t="s">
        <v>2</v>
      </c>
      <c r="I52" s="8" t="s">
        <v>4</v>
      </c>
      <c r="J52" s="13"/>
      <c r="K52" s="7"/>
      <c r="L52" s="7" t="s">
        <v>1</v>
      </c>
      <c r="M52" s="8" t="s">
        <v>2</v>
      </c>
      <c r="N52" s="8" t="s">
        <v>4</v>
      </c>
    </row>
    <row r="53" spans="1:17" ht="15.5" x14ac:dyDescent="0.35">
      <c r="A53" s="171" t="s">
        <v>463</v>
      </c>
      <c r="B53" s="170">
        <v>1</v>
      </c>
      <c r="C53" s="10">
        <f>$D$46</f>
        <v>0.8631608578875174</v>
      </c>
      <c r="D53" s="156">
        <f>B53*C53</f>
        <v>0.8631608578875174</v>
      </c>
      <c r="E53" s="158"/>
      <c r="F53" s="171" t="s">
        <v>463</v>
      </c>
      <c r="G53" s="170">
        <v>1</v>
      </c>
      <c r="H53" s="10">
        <f>$I$46</f>
        <v>1.9497077135149494</v>
      </c>
      <c r="I53" s="156">
        <f>G53*H53</f>
        <v>1.9497077135149494</v>
      </c>
      <c r="J53" s="158"/>
      <c r="K53" s="171" t="s">
        <v>463</v>
      </c>
      <c r="L53" s="170">
        <v>1</v>
      </c>
      <c r="M53" s="10">
        <f>$N$46</f>
        <v>3.3806612290776803</v>
      </c>
      <c r="N53" s="11">
        <f>L53*M53</f>
        <v>3.3806612290776803</v>
      </c>
    </row>
    <row r="54" spans="1:17" ht="15.5" x14ac:dyDescent="0.35">
      <c r="A54" s="7" t="s">
        <v>180</v>
      </c>
      <c r="B54" s="28">
        <v>60</v>
      </c>
      <c r="C54" s="10">
        <f>'Ingredient Cost'!$B$113</f>
        <v>20</v>
      </c>
      <c r="D54" s="10">
        <f>C54/B54</f>
        <v>0.33333333333333331</v>
      </c>
      <c r="E54" s="13"/>
      <c r="F54" s="7" t="s">
        <v>140</v>
      </c>
      <c r="G54" s="28">
        <v>48</v>
      </c>
      <c r="H54" s="10">
        <f>'Ingredient Cost'!$B$113</f>
        <v>20</v>
      </c>
      <c r="I54" s="157">
        <f>H54/G54</f>
        <v>0.41666666666666669</v>
      </c>
      <c r="J54" s="158"/>
      <c r="K54" s="7" t="s">
        <v>140</v>
      </c>
      <c r="L54" s="28">
        <v>32</v>
      </c>
      <c r="M54" s="10">
        <f>'Ingredient Cost'!$B$113</f>
        <v>20</v>
      </c>
      <c r="N54" s="10">
        <f>M54/L54</f>
        <v>0.625</v>
      </c>
    </row>
    <row r="55" spans="1:17" ht="15.5" x14ac:dyDescent="0.35">
      <c r="A55" s="6" t="s">
        <v>0</v>
      </c>
      <c r="B55" s="13"/>
      <c r="C55" s="15"/>
      <c r="D55" s="74">
        <f>SUM(D53:D54)</f>
        <v>1.1964941912208507</v>
      </c>
      <c r="E55" s="13"/>
      <c r="F55" s="7" t="s">
        <v>0</v>
      </c>
      <c r="G55" s="13"/>
      <c r="H55" s="15"/>
      <c r="I55" s="74">
        <f>SUM(I53:I54)</f>
        <v>2.3663743801816159</v>
      </c>
      <c r="J55" s="13"/>
      <c r="K55" s="7" t="s">
        <v>0</v>
      </c>
      <c r="L55" s="13"/>
      <c r="M55" s="15"/>
      <c r="N55" s="74">
        <f>SUM(N53:N54)</f>
        <v>4.0056612290776803</v>
      </c>
    </row>
    <row r="56" spans="1:17" ht="15.5" x14ac:dyDescent="0.35">
      <c r="A56" s="7"/>
      <c r="B56" s="13"/>
      <c r="C56" s="15"/>
      <c r="D56" s="74"/>
      <c r="E56" s="13"/>
      <c r="F56" s="7"/>
      <c r="G56" s="13"/>
      <c r="H56" s="15"/>
      <c r="I56" s="74"/>
      <c r="J56" s="13"/>
      <c r="K56" s="7"/>
      <c r="L56" s="13"/>
      <c r="M56" s="15"/>
      <c r="N56" s="74"/>
    </row>
    <row r="57" spans="1:17" ht="15.5" x14ac:dyDescent="0.35">
      <c r="A57" s="7"/>
      <c r="B57" s="74" t="s">
        <v>467</v>
      </c>
      <c r="C57" s="163"/>
      <c r="D57" s="191">
        <f>D$54/D$53</f>
        <v>0.3861775360726234</v>
      </c>
      <c r="E57" s="13"/>
      <c r="F57" s="7"/>
      <c r="G57" s="74" t="s">
        <v>467</v>
      </c>
      <c r="H57" s="74"/>
      <c r="I57" s="191">
        <f>I$54/I$53</f>
        <v>0.21370724636232605</v>
      </c>
      <c r="J57" s="13"/>
      <c r="K57" s="7"/>
      <c r="L57" s="74" t="s">
        <v>467</v>
      </c>
      <c r="M57" s="163"/>
      <c r="N57" s="191">
        <f>N$54/N$53</f>
        <v>0.18487507551015808</v>
      </c>
    </row>
    <row r="58" spans="1:17" ht="15.5" x14ac:dyDescent="0.35">
      <c r="A58" s="164" t="s">
        <v>448</v>
      </c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60" spans="1:17" ht="15.5" x14ac:dyDescent="0.35">
      <c r="A60" s="190" t="s">
        <v>466</v>
      </c>
      <c r="B60" s="159"/>
      <c r="C60" s="161"/>
      <c r="D60" s="162"/>
      <c r="F60" s="190" t="s">
        <v>465</v>
      </c>
      <c r="G60" s="159"/>
      <c r="H60" s="161"/>
      <c r="I60" s="162"/>
      <c r="K60" s="7"/>
      <c r="L60" s="47"/>
      <c r="M60" s="48"/>
      <c r="N60" s="49"/>
    </row>
    <row r="61" spans="1:17" ht="15.5" x14ac:dyDescent="0.35">
      <c r="A61" s="7"/>
      <c r="B61" s="7" t="s">
        <v>1</v>
      </c>
      <c r="C61" s="8" t="s">
        <v>2</v>
      </c>
      <c r="D61" s="8" t="s">
        <v>4</v>
      </c>
      <c r="E61" s="13"/>
      <c r="F61" s="7"/>
      <c r="G61" s="7" t="s">
        <v>1</v>
      </c>
      <c r="H61" s="8" t="s">
        <v>2</v>
      </c>
      <c r="I61" s="8" t="s">
        <v>4</v>
      </c>
      <c r="J61" s="13"/>
      <c r="K61" s="7"/>
      <c r="L61" s="7"/>
      <c r="M61" s="8"/>
      <c r="N61" s="8"/>
    </row>
    <row r="62" spans="1:17" ht="15.5" x14ac:dyDescent="0.35">
      <c r="A62" s="7" t="s">
        <v>454</v>
      </c>
      <c r="B62" s="28">
        <v>9</v>
      </c>
      <c r="C62" s="10">
        <f>D55</f>
        <v>1.1964941912208507</v>
      </c>
      <c r="D62" s="11">
        <f>B62*C62</f>
        <v>10.768447720987655</v>
      </c>
      <c r="E62" s="13"/>
      <c r="F62" s="7" t="s">
        <v>454</v>
      </c>
      <c r="G62" s="28">
        <v>4</v>
      </c>
      <c r="H62" s="10">
        <f>I55</f>
        <v>2.3663743801816159</v>
      </c>
      <c r="I62" s="11">
        <f>G62*H62</f>
        <v>9.4654975207264638</v>
      </c>
      <c r="J62" s="13"/>
      <c r="K62" s="7"/>
      <c r="L62" s="13"/>
      <c r="M62" s="15"/>
      <c r="N62" s="74"/>
    </row>
    <row r="63" spans="1:17" ht="15.5" x14ac:dyDescent="0.35">
      <c r="A63" s="7" t="s">
        <v>464</v>
      </c>
      <c r="B63" s="28">
        <v>1</v>
      </c>
      <c r="C63" s="10">
        <f>'Ingredient Cost'!D108</f>
        <v>0.2</v>
      </c>
      <c r="D63" s="10">
        <f>B63*C63</f>
        <v>0.2</v>
      </c>
      <c r="E63" s="13"/>
      <c r="F63" s="7" t="s">
        <v>464</v>
      </c>
      <c r="G63" s="28">
        <v>1</v>
      </c>
      <c r="H63" s="10">
        <f>C63</f>
        <v>0.2</v>
      </c>
      <c r="I63" s="10">
        <f>G63*H63</f>
        <v>0.2</v>
      </c>
      <c r="J63" s="13"/>
      <c r="K63" s="7"/>
      <c r="L63" s="13"/>
      <c r="M63" s="15"/>
      <c r="N63" s="15"/>
    </row>
    <row r="64" spans="1:17" ht="15.5" x14ac:dyDescent="0.35">
      <c r="A64" s="7" t="s">
        <v>180</v>
      </c>
      <c r="B64" s="28">
        <v>40</v>
      </c>
      <c r="C64" s="10">
        <f>C54</f>
        <v>20</v>
      </c>
      <c r="D64" s="10">
        <f>C64/B64</f>
        <v>0.5</v>
      </c>
      <c r="E64" s="13"/>
      <c r="F64" s="7" t="s">
        <v>180</v>
      </c>
      <c r="G64" s="28">
        <v>40</v>
      </c>
      <c r="H64" s="10">
        <f>C54</f>
        <v>20</v>
      </c>
      <c r="I64" s="10">
        <f>H64/G64</f>
        <v>0.5</v>
      </c>
      <c r="J64" s="13"/>
      <c r="K64" s="7"/>
      <c r="L64" s="13"/>
      <c r="M64" s="15"/>
      <c r="N64" s="15"/>
    </row>
    <row r="65" spans="1:14" ht="15.5" x14ac:dyDescent="0.35">
      <c r="A65" s="7" t="s">
        <v>184</v>
      </c>
      <c r="B65" s="28">
        <v>1</v>
      </c>
      <c r="C65" s="10">
        <v>0.01</v>
      </c>
      <c r="D65" s="10">
        <f>B65*C65</f>
        <v>0.01</v>
      </c>
      <c r="E65" s="13"/>
      <c r="F65" s="7" t="s">
        <v>184</v>
      </c>
      <c r="G65" s="28">
        <v>1</v>
      </c>
      <c r="H65" s="10">
        <v>0.01</v>
      </c>
      <c r="I65" s="10">
        <f>G65*H65</f>
        <v>0.01</v>
      </c>
      <c r="J65" s="13"/>
      <c r="K65" s="7"/>
      <c r="L65" s="13"/>
      <c r="M65" s="15"/>
      <c r="N65" s="15"/>
    </row>
    <row r="66" spans="1:14" ht="15.5" x14ac:dyDescent="0.35">
      <c r="A66" s="7" t="s">
        <v>0</v>
      </c>
      <c r="B66" s="13"/>
      <c r="C66" s="15"/>
      <c r="D66" s="74">
        <f>SUM(D62:D65)</f>
        <v>11.478447720987655</v>
      </c>
      <c r="E66" s="13"/>
      <c r="F66" s="7" t="s">
        <v>0</v>
      </c>
      <c r="G66" s="13"/>
      <c r="H66" s="15"/>
      <c r="I66" s="74">
        <f>SUM(I62:I65)</f>
        <v>10.175497520726463</v>
      </c>
      <c r="J66" s="13"/>
      <c r="K66" s="7"/>
      <c r="L66" s="13"/>
      <c r="M66" s="15"/>
      <c r="N66" s="82"/>
    </row>
    <row r="67" spans="1:14" ht="15.5" x14ac:dyDescent="0.35">
      <c r="A67" s="7" t="s">
        <v>182</v>
      </c>
      <c r="D67" s="74">
        <f>D66/9</f>
        <v>1.2753830801097394</v>
      </c>
      <c r="F67" s="7" t="s">
        <v>182</v>
      </c>
      <c r="I67" s="74">
        <f>I66/4</f>
        <v>2.5438743801816157</v>
      </c>
    </row>
    <row r="68" spans="1:14" ht="15.5" x14ac:dyDescent="0.35">
      <c r="A68" s="7"/>
      <c r="D68" s="74"/>
      <c r="F68" s="7"/>
      <c r="I68" s="74"/>
    </row>
    <row r="69" spans="1:14" ht="15.5" x14ac:dyDescent="0.35">
      <c r="A69" s="190" t="s">
        <v>475</v>
      </c>
      <c r="B69" s="159"/>
      <c r="C69" s="161"/>
      <c r="D69" s="162"/>
      <c r="F69" s="7"/>
      <c r="I69" s="74"/>
    </row>
    <row r="70" spans="1:14" ht="15.5" x14ac:dyDescent="0.35">
      <c r="A70" s="7"/>
      <c r="B70" s="7" t="s">
        <v>1</v>
      </c>
      <c r="C70" s="8" t="s">
        <v>2</v>
      </c>
      <c r="D70" s="8" t="s">
        <v>4</v>
      </c>
    </row>
    <row r="71" spans="1:14" ht="15.5" x14ac:dyDescent="0.35">
      <c r="A71" s="7" t="s">
        <v>454</v>
      </c>
      <c r="B71" s="28">
        <v>6</v>
      </c>
      <c r="C71" s="10">
        <f>D55</f>
        <v>1.1964941912208507</v>
      </c>
      <c r="D71" s="11">
        <f>B71*C71</f>
        <v>7.1789651473251039</v>
      </c>
    </row>
    <row r="72" spans="1:14" ht="15.5" x14ac:dyDescent="0.35">
      <c r="A72" s="7" t="s">
        <v>464</v>
      </c>
      <c r="B72" s="28">
        <v>1</v>
      </c>
      <c r="C72" s="10">
        <f>C63</f>
        <v>0.2</v>
      </c>
      <c r="D72" s="10">
        <f>B72*C72</f>
        <v>0.2</v>
      </c>
    </row>
    <row r="73" spans="1:14" ht="15.5" x14ac:dyDescent="0.35">
      <c r="A73" s="7" t="s">
        <v>180</v>
      </c>
      <c r="B73" s="28">
        <v>40</v>
      </c>
      <c r="C73" s="10">
        <v>20</v>
      </c>
      <c r="D73" s="10">
        <f>C73/B73</f>
        <v>0.5</v>
      </c>
    </row>
    <row r="74" spans="1:14" ht="15.5" x14ac:dyDescent="0.35">
      <c r="A74" s="7" t="s">
        <v>184</v>
      </c>
      <c r="B74" s="28">
        <v>1</v>
      </c>
      <c r="C74" s="10">
        <v>0.01</v>
      </c>
      <c r="D74" s="10">
        <f>B74*C74</f>
        <v>0.01</v>
      </c>
    </row>
    <row r="75" spans="1:14" ht="15.5" x14ac:dyDescent="0.35">
      <c r="A75" s="7" t="s">
        <v>0</v>
      </c>
      <c r="B75" s="13"/>
      <c r="C75" s="15"/>
      <c r="D75" s="74">
        <f>SUM(D71:D74)</f>
        <v>7.8889651473251039</v>
      </c>
    </row>
    <row r="76" spans="1:14" ht="15.5" x14ac:dyDescent="0.35">
      <c r="A76" s="7" t="s">
        <v>182</v>
      </c>
      <c r="D76" s="74">
        <f>D75/6</f>
        <v>1.3148275245541841</v>
      </c>
    </row>
    <row r="78" spans="1:14" ht="15.5" x14ac:dyDescent="0.35">
      <c r="A78" s="190" t="s">
        <v>485</v>
      </c>
      <c r="B78" s="159"/>
      <c r="C78" s="161"/>
      <c r="D78" s="162"/>
    </row>
    <row r="79" spans="1:14" ht="15.5" x14ac:dyDescent="0.35">
      <c r="A79" s="7"/>
      <c r="B79" s="7" t="s">
        <v>1</v>
      </c>
      <c r="C79" s="8" t="s">
        <v>2</v>
      </c>
      <c r="D79" s="8" t="s">
        <v>4</v>
      </c>
    </row>
    <row r="80" spans="1:14" ht="15.5" x14ac:dyDescent="0.35">
      <c r="A80" s="7" t="s">
        <v>454</v>
      </c>
      <c r="B80" s="28">
        <v>12</v>
      </c>
      <c r="C80" s="10">
        <f>D55</f>
        <v>1.1964941912208507</v>
      </c>
      <c r="D80" s="11">
        <f>B80*C80</f>
        <v>14.357930294650208</v>
      </c>
    </row>
    <row r="81" spans="1:4" ht="15.5" x14ac:dyDescent="0.35">
      <c r="A81" s="7" t="s">
        <v>464</v>
      </c>
      <c r="B81" s="28">
        <v>1</v>
      </c>
      <c r="C81" s="10">
        <f>C63</f>
        <v>0.2</v>
      </c>
      <c r="D81" s="10">
        <f>B81*C81</f>
        <v>0.2</v>
      </c>
    </row>
    <row r="82" spans="1:4" ht="15.5" x14ac:dyDescent="0.35">
      <c r="A82" s="7" t="s">
        <v>180</v>
      </c>
      <c r="B82" s="28">
        <v>40</v>
      </c>
      <c r="C82" s="10">
        <v>20</v>
      </c>
      <c r="D82" s="10">
        <f>C82/B82</f>
        <v>0.5</v>
      </c>
    </row>
    <row r="83" spans="1:4" ht="15.5" x14ac:dyDescent="0.35">
      <c r="A83" s="7" t="s">
        <v>184</v>
      </c>
      <c r="B83" s="28">
        <v>1</v>
      </c>
      <c r="C83" s="10">
        <v>0.01</v>
      </c>
      <c r="D83" s="10">
        <f>B83*C83</f>
        <v>0.01</v>
      </c>
    </row>
    <row r="84" spans="1:4" ht="15.5" x14ac:dyDescent="0.35">
      <c r="A84" s="7" t="s">
        <v>0</v>
      </c>
      <c r="B84" s="13"/>
      <c r="C84" s="15"/>
      <c r="D84" s="74">
        <f>SUM(D80:D83)</f>
        <v>15.067930294650207</v>
      </c>
    </row>
    <row r="85" spans="1:4" ht="15.5" x14ac:dyDescent="0.35">
      <c r="A85" s="7" t="s">
        <v>182</v>
      </c>
      <c r="D85" s="74">
        <f>D84/12</f>
        <v>1.2556608578875172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62"/>
  <sheetViews>
    <sheetView topLeftCell="A28" workbookViewId="0">
      <selection activeCell="D60" sqref="D60"/>
    </sheetView>
  </sheetViews>
  <sheetFormatPr defaultRowHeight="12.5" x14ac:dyDescent="0.25"/>
  <cols>
    <col min="1" max="1" width="22.81640625" customWidth="1"/>
    <col min="5" max="5" width="11.453125" customWidth="1"/>
    <col min="6" max="6" width="17.81640625" customWidth="1"/>
    <col min="9" max="9" width="11" customWidth="1"/>
    <col min="11" max="11" width="19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191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195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108</v>
      </c>
      <c r="B18" s="28">
        <v>1.25</v>
      </c>
      <c r="C18" s="10">
        <f>'Ingredient Cost'!D62</f>
        <v>7.55</v>
      </c>
      <c r="D18" s="11">
        <f>B18*C18</f>
        <v>9.4375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63</v>
      </c>
      <c r="B19" s="28">
        <v>0.3</v>
      </c>
      <c r="C19" s="10">
        <v>6</v>
      </c>
      <c r="D19" s="11">
        <f>B19*C19</f>
        <v>1.7999999999999998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110</v>
      </c>
      <c r="B20" s="28">
        <v>2.25</v>
      </c>
      <c r="C20" s="10">
        <f>'Ingredient Cost'!D11</f>
        <v>0.02</v>
      </c>
      <c r="D20" s="10">
        <f>B20*C20</f>
        <v>4.4999999999999998E-2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111</v>
      </c>
      <c r="B21" s="28">
        <v>0.375</v>
      </c>
      <c r="C21" s="10">
        <f>'Ingredient Cost'!D20</f>
        <v>8.9499999999999993</v>
      </c>
      <c r="D21" s="10">
        <f>B21*C21</f>
        <v>3.3562499999999997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/>
      <c r="B22" s="12"/>
      <c r="C22" s="10"/>
      <c r="D22" s="10"/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/>
      <c r="B23" s="12">
        <f>SUM(B18:B21)</f>
        <v>4.1749999999999998</v>
      </c>
      <c r="C23" s="10"/>
      <c r="D23" s="10">
        <f>SUM(D18:D21)</f>
        <v>14.63875</v>
      </c>
      <c r="E23" s="13"/>
      <c r="F23" s="6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3" x14ac:dyDescent="0.3">
      <c r="A24" s="13"/>
      <c r="B24" s="13"/>
      <c r="C24" s="15"/>
      <c r="D24" s="14"/>
      <c r="E24" s="13"/>
      <c r="F24" s="13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 t="s">
        <v>0</v>
      </c>
      <c r="B25" s="13"/>
      <c r="C25" s="15"/>
      <c r="D25" s="19">
        <f>D23/B23</f>
        <v>3.5062874251497007</v>
      </c>
      <c r="E25" s="13"/>
      <c r="F25" s="6"/>
      <c r="G25" s="13"/>
      <c r="H25" s="15"/>
      <c r="I25" s="20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7"/>
      <c r="B26" s="13"/>
      <c r="C26" s="15"/>
      <c r="D26" s="20"/>
      <c r="E26" s="13"/>
      <c r="F26" s="21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 t="s">
        <v>3</v>
      </c>
      <c r="B27" s="47" t="s">
        <v>197</v>
      </c>
      <c r="C27" s="48"/>
      <c r="D27" s="49"/>
      <c r="F27" s="7" t="s">
        <v>3</v>
      </c>
      <c r="G27" s="47" t="s">
        <v>196</v>
      </c>
      <c r="H27" s="48"/>
      <c r="I27" s="49"/>
      <c r="K27" s="7" t="s">
        <v>3</v>
      </c>
      <c r="L27" s="47" t="s">
        <v>198</v>
      </c>
      <c r="M27" s="48"/>
      <c r="N27" s="49"/>
    </row>
    <row r="28" spans="1:17" ht="15.5" x14ac:dyDescent="0.35">
      <c r="A28" s="6"/>
      <c r="B28" s="7" t="s">
        <v>1</v>
      </c>
      <c r="C28" s="8" t="s">
        <v>2</v>
      </c>
      <c r="D28" s="9" t="s">
        <v>4</v>
      </c>
      <c r="E28" s="13"/>
      <c r="F28" s="6"/>
      <c r="G28" s="7" t="s">
        <v>1</v>
      </c>
      <c r="H28" s="8" t="s">
        <v>2</v>
      </c>
      <c r="I28" s="9" t="s">
        <v>4</v>
      </c>
      <c r="J28" s="13"/>
      <c r="K28" s="6"/>
      <c r="L28" s="7" t="s">
        <v>1</v>
      </c>
      <c r="M28" s="8" t="s">
        <v>2</v>
      </c>
      <c r="N28" s="9" t="s">
        <v>4</v>
      </c>
    </row>
    <row r="29" spans="1:17" ht="15.5" x14ac:dyDescent="0.35">
      <c r="A29" s="6" t="s">
        <v>199</v>
      </c>
      <c r="B29" s="28">
        <v>0.129</v>
      </c>
      <c r="C29" s="10">
        <f>D25</f>
        <v>3.5062874251497007</v>
      </c>
      <c r="D29" s="11">
        <f>B29*C29</f>
        <v>0.4523110778443114</v>
      </c>
      <c r="E29" s="13"/>
      <c r="F29" s="6" t="s">
        <v>199</v>
      </c>
      <c r="G29" s="28">
        <v>0.25700000000000001</v>
      </c>
      <c r="H29" s="10">
        <f>C29</f>
        <v>3.5062874251497007</v>
      </c>
      <c r="I29" s="11">
        <f>G29*H29</f>
        <v>0.90111586826347312</v>
      </c>
      <c r="J29" s="13"/>
      <c r="K29" s="6" t="s">
        <v>199</v>
      </c>
      <c r="L29" s="28">
        <v>0.74</v>
      </c>
      <c r="M29" s="10">
        <f>C29</f>
        <v>3.5062874251497007</v>
      </c>
      <c r="N29" s="11">
        <f>L29*M29</f>
        <v>2.5946526946107786</v>
      </c>
    </row>
    <row r="30" spans="1:17" ht="15.5" x14ac:dyDescent="0.35">
      <c r="A30" s="6" t="s">
        <v>200</v>
      </c>
      <c r="B30" s="28"/>
      <c r="C30" s="10">
        <f>'Pastry Costing'!F30</f>
        <v>0.2107946902228468</v>
      </c>
      <c r="D30" s="11">
        <f>C30</f>
        <v>0.2107946902228468</v>
      </c>
      <c r="E30" s="13"/>
      <c r="F30" s="6" t="s">
        <v>200</v>
      </c>
      <c r="G30" s="28"/>
      <c r="H30" s="10">
        <f>'Pastry Costing'!F31</f>
        <v>0.34141430034129694</v>
      </c>
      <c r="I30" s="11">
        <f>H30</f>
        <v>0.34141430034129694</v>
      </c>
      <c r="J30" s="13"/>
      <c r="K30" s="6" t="s">
        <v>200</v>
      </c>
      <c r="L30" s="28"/>
      <c r="M30" s="10">
        <f>'Pastry Costing'!F32</f>
        <v>0.52407440273037542</v>
      </c>
      <c r="N30" s="11">
        <f>M30</f>
        <v>0.52407440273037542</v>
      </c>
    </row>
    <row r="31" spans="1:17" ht="15.5" x14ac:dyDescent="0.35">
      <c r="A31" s="6" t="s">
        <v>115</v>
      </c>
      <c r="B31" s="28"/>
      <c r="C31" s="10">
        <f>'Ingredient Cost'!C35</f>
        <v>0</v>
      </c>
      <c r="D31" s="10">
        <f>B31*C31</f>
        <v>0</v>
      </c>
      <c r="E31" s="13"/>
      <c r="F31" s="6" t="s">
        <v>115</v>
      </c>
      <c r="G31" s="28"/>
      <c r="H31" s="10">
        <f>C31</f>
        <v>0</v>
      </c>
      <c r="I31" s="10">
        <f>H31</f>
        <v>0</v>
      </c>
      <c r="J31" s="13"/>
      <c r="K31" s="6" t="s">
        <v>115</v>
      </c>
      <c r="L31" s="28"/>
      <c r="M31" s="10">
        <f>'Ingredient Cost'!M35</f>
        <v>0</v>
      </c>
      <c r="N31" s="10">
        <f>L31*M31</f>
        <v>0</v>
      </c>
    </row>
    <row r="32" spans="1:17" ht="15.5" x14ac:dyDescent="0.35">
      <c r="A32" s="7" t="s">
        <v>106</v>
      </c>
      <c r="B32" s="28">
        <v>1</v>
      </c>
      <c r="C32" s="10">
        <f>'Ingredient Cost'!D95</f>
        <v>0.09</v>
      </c>
      <c r="D32" s="10">
        <f>B32*C32</f>
        <v>0.09</v>
      </c>
      <c r="E32" s="13"/>
      <c r="F32" s="7" t="s">
        <v>106</v>
      </c>
      <c r="G32" s="28">
        <v>1</v>
      </c>
      <c r="H32" s="10">
        <f>'Ingredient Cost'!D96</f>
        <v>0.12</v>
      </c>
      <c r="I32" s="10">
        <f>G32*H32</f>
        <v>0.12</v>
      </c>
      <c r="J32" s="13"/>
      <c r="K32" s="7" t="s">
        <v>106</v>
      </c>
      <c r="L32" s="28">
        <v>1</v>
      </c>
      <c r="M32" s="10">
        <f>'Ingredient Cost'!D97</f>
        <v>0.2</v>
      </c>
      <c r="N32" s="10">
        <f>L32*M32</f>
        <v>0.2</v>
      </c>
    </row>
    <row r="33" spans="1:14" ht="15.5" x14ac:dyDescent="0.35">
      <c r="A33" s="7" t="s">
        <v>180</v>
      </c>
      <c r="B33" s="28">
        <v>90</v>
      </c>
      <c r="C33" s="10">
        <v>15</v>
      </c>
      <c r="D33" s="10">
        <f>C33/B33</f>
        <v>0.16666666666666666</v>
      </c>
      <c r="E33" s="13"/>
      <c r="F33" s="7" t="s">
        <v>140</v>
      </c>
      <c r="G33" s="28">
        <v>48</v>
      </c>
      <c r="H33" s="10">
        <f>C33</f>
        <v>15</v>
      </c>
      <c r="I33" s="10">
        <f>H33/G33</f>
        <v>0.3125</v>
      </c>
      <c r="J33" s="13"/>
      <c r="K33" s="7" t="s">
        <v>140</v>
      </c>
      <c r="L33" s="28">
        <v>32</v>
      </c>
      <c r="M33" s="10">
        <v>15</v>
      </c>
      <c r="N33" s="10">
        <f>M33/L33</f>
        <v>0.46875</v>
      </c>
    </row>
    <row r="34" spans="1:14" ht="15.5" x14ac:dyDescent="0.35">
      <c r="A34" s="7"/>
      <c r="B34" s="12"/>
      <c r="C34" s="10"/>
      <c r="D34" s="10"/>
      <c r="E34" s="13"/>
      <c r="F34" s="7"/>
      <c r="G34" s="12"/>
      <c r="H34" s="10"/>
      <c r="I34" s="10"/>
      <c r="J34" s="13"/>
      <c r="K34" s="7"/>
      <c r="L34" s="12"/>
      <c r="M34" s="10"/>
      <c r="N34" s="10"/>
    </row>
    <row r="35" spans="1:14" ht="13" x14ac:dyDescent="0.3">
      <c r="A35" s="13"/>
      <c r="B35" s="13"/>
      <c r="C35" s="15"/>
      <c r="D35" s="14"/>
      <c r="E35" s="13"/>
      <c r="F35" s="13"/>
      <c r="G35" s="13"/>
      <c r="H35" s="15"/>
      <c r="I35" s="14"/>
      <c r="J35" s="13"/>
      <c r="K35" s="13"/>
      <c r="L35" s="13"/>
      <c r="M35" s="15"/>
      <c r="N35" s="14"/>
    </row>
    <row r="36" spans="1:14" ht="15.5" x14ac:dyDescent="0.35">
      <c r="A36" s="6" t="s">
        <v>0</v>
      </c>
      <c r="B36" s="13"/>
      <c r="C36" s="15"/>
      <c r="D36" s="19">
        <f>D29+D30+D31+D32+D33</f>
        <v>0.91977243473382475</v>
      </c>
      <c r="E36" s="13"/>
      <c r="F36" s="6" t="s">
        <v>0</v>
      </c>
      <c r="G36" s="13"/>
      <c r="H36" s="15"/>
      <c r="I36" s="19">
        <f>I29+I30+I31+I32+I33</f>
        <v>1.6750301686047702</v>
      </c>
      <c r="J36" s="13"/>
      <c r="K36" s="6" t="s">
        <v>0</v>
      </c>
      <c r="L36" s="13"/>
      <c r="M36" s="15"/>
      <c r="N36" s="19">
        <f>N29+N30+N31+N32+N33</f>
        <v>3.7874770973411542</v>
      </c>
    </row>
    <row r="38" spans="1:14" ht="15.5" x14ac:dyDescent="0.35">
      <c r="A38" s="7" t="s">
        <v>3</v>
      </c>
      <c r="B38" s="47" t="s">
        <v>203</v>
      </c>
      <c r="C38" s="48"/>
      <c r="D38" s="49"/>
    </row>
    <row r="39" spans="1:14" ht="15.5" x14ac:dyDescent="0.35">
      <c r="A39" s="6"/>
      <c r="B39" s="7" t="s">
        <v>1</v>
      </c>
      <c r="C39" s="8" t="s">
        <v>2</v>
      </c>
      <c r="D39" s="9" t="s">
        <v>4</v>
      </c>
    </row>
    <row r="40" spans="1:14" ht="15.5" x14ac:dyDescent="0.35">
      <c r="A40" s="6" t="s">
        <v>199</v>
      </c>
      <c r="B40" s="28">
        <v>0.129</v>
      </c>
      <c r="C40" s="10">
        <f>D25</f>
        <v>3.5062874251497007</v>
      </c>
      <c r="D40" s="11">
        <f>B40*C40</f>
        <v>0.4523110778443114</v>
      </c>
    </row>
    <row r="41" spans="1:14" ht="15.5" x14ac:dyDescent="0.35">
      <c r="A41" s="6" t="s">
        <v>200</v>
      </c>
      <c r="B41" s="28"/>
      <c r="C41" s="10">
        <f>'Pastry Costing'!F30</f>
        <v>0.2107946902228468</v>
      </c>
      <c r="D41" s="11">
        <f>C41</f>
        <v>0.2107946902228468</v>
      </c>
    </row>
    <row r="42" spans="1:14" ht="15.5" x14ac:dyDescent="0.35">
      <c r="A42" s="6" t="s">
        <v>115</v>
      </c>
      <c r="B42" s="28"/>
      <c r="C42" s="10">
        <f>'Ingredient Cost'!C59</f>
        <v>0</v>
      </c>
      <c r="D42" s="10">
        <f>B42*C42</f>
        <v>0</v>
      </c>
    </row>
    <row r="43" spans="1:14" ht="15.5" x14ac:dyDescent="0.35">
      <c r="A43" s="7" t="s">
        <v>106</v>
      </c>
      <c r="B43" s="28">
        <v>1</v>
      </c>
      <c r="C43" s="10">
        <f>'Ingredient Cost'!D95</f>
        <v>0.09</v>
      </c>
      <c r="D43" s="10">
        <f>B43*C43</f>
        <v>0.09</v>
      </c>
    </row>
    <row r="44" spans="1:14" ht="15.5" x14ac:dyDescent="0.35">
      <c r="A44" s="7" t="s">
        <v>180</v>
      </c>
      <c r="B44" s="28">
        <v>90</v>
      </c>
      <c r="C44" s="10">
        <f>'Steak Pie v2'!C53</f>
        <v>20</v>
      </c>
      <c r="D44" s="10">
        <f>C44/B44</f>
        <v>0.22222222222222221</v>
      </c>
    </row>
    <row r="45" spans="1:14" ht="15.5" x14ac:dyDescent="0.35">
      <c r="A45" s="7" t="s">
        <v>66</v>
      </c>
      <c r="B45" s="28">
        <v>1</v>
      </c>
      <c r="C45" s="10">
        <f>'Ingredient Cost'!D108</f>
        <v>0.2</v>
      </c>
      <c r="D45" s="10">
        <f>B45*C45</f>
        <v>0.2</v>
      </c>
    </row>
    <row r="46" spans="1:14" ht="15.5" x14ac:dyDescent="0.35">
      <c r="A46" s="7"/>
      <c r="B46" s="12"/>
      <c r="C46" s="10"/>
      <c r="D46" s="10"/>
    </row>
    <row r="47" spans="1:14" ht="13" x14ac:dyDescent="0.3">
      <c r="A47" s="13"/>
      <c r="B47" s="13"/>
      <c r="C47" s="15"/>
      <c r="D47" s="14"/>
    </row>
    <row r="48" spans="1:14" ht="15.5" x14ac:dyDescent="0.35">
      <c r="A48" s="6" t="s">
        <v>0</v>
      </c>
      <c r="B48" s="13"/>
      <c r="C48" s="15"/>
      <c r="D48" s="19">
        <f>SUM(D40:D45)</f>
        <v>1.1753279902893803</v>
      </c>
    </row>
    <row r="50" spans="1:14" s="88" customFormat="1" ht="35.25" customHeight="1" x14ac:dyDescent="0.25">
      <c r="A50" s="87" t="s">
        <v>3</v>
      </c>
      <c r="B50" s="261" t="s">
        <v>201</v>
      </c>
      <c r="C50" s="261"/>
      <c r="D50" s="261"/>
      <c r="F50" s="87" t="s">
        <v>3</v>
      </c>
      <c r="G50" s="261" t="s">
        <v>202</v>
      </c>
      <c r="H50" s="261"/>
      <c r="I50" s="261"/>
      <c r="K50" s="87"/>
      <c r="L50" s="89"/>
      <c r="M50" s="89"/>
      <c r="N50" s="90"/>
    </row>
    <row r="51" spans="1:14" ht="15.5" x14ac:dyDescent="0.35">
      <c r="A51" s="6"/>
      <c r="B51" s="7" t="s">
        <v>1</v>
      </c>
      <c r="C51" s="8" t="s">
        <v>2</v>
      </c>
      <c r="D51" s="9" t="s">
        <v>4</v>
      </c>
      <c r="E51" s="13"/>
      <c r="F51" s="6"/>
      <c r="G51" s="7" t="s">
        <v>1</v>
      </c>
      <c r="H51" s="8" t="s">
        <v>2</v>
      </c>
      <c r="I51" s="9" t="s">
        <v>4</v>
      </c>
      <c r="J51" s="13"/>
      <c r="K51" s="7"/>
      <c r="L51" s="7"/>
      <c r="M51" s="8"/>
      <c r="N51" s="8"/>
    </row>
    <row r="52" spans="1:14" ht="15.5" x14ac:dyDescent="0.35">
      <c r="A52" s="6" t="s">
        <v>138</v>
      </c>
      <c r="B52" s="28">
        <v>9</v>
      </c>
      <c r="C52" s="10">
        <f>D36</f>
        <v>0.91977243473382475</v>
      </c>
      <c r="D52" s="11">
        <f>B52*C52</f>
        <v>8.2779519126044221</v>
      </c>
      <c r="E52" s="13"/>
      <c r="F52" s="6" t="s">
        <v>138</v>
      </c>
      <c r="G52" s="28">
        <v>6</v>
      </c>
      <c r="H52" s="10">
        <f>I36</f>
        <v>1.6750301686047702</v>
      </c>
      <c r="I52" s="11">
        <f>G52*H52</f>
        <v>10.05018101162862</v>
      </c>
      <c r="J52" s="13"/>
      <c r="K52" s="7"/>
      <c r="L52" s="13"/>
      <c r="M52" s="15"/>
      <c r="N52" s="74"/>
    </row>
    <row r="53" spans="1:14" ht="15.5" x14ac:dyDescent="0.35">
      <c r="A53" s="6" t="s">
        <v>94</v>
      </c>
      <c r="B53" s="28">
        <v>1</v>
      </c>
      <c r="C53" s="10">
        <f>'Ingredient Cost'!D86</f>
        <v>0.12</v>
      </c>
      <c r="D53" s="11">
        <f>B53*C53</f>
        <v>0.12</v>
      </c>
      <c r="E53" s="13"/>
      <c r="F53" s="6" t="s">
        <v>94</v>
      </c>
      <c r="G53" s="28">
        <v>1</v>
      </c>
      <c r="H53" s="10">
        <f>C53</f>
        <v>0.12</v>
      </c>
      <c r="I53" s="11">
        <f>G53*H53</f>
        <v>0.12</v>
      </c>
      <c r="J53" s="13"/>
      <c r="K53" s="7"/>
      <c r="L53" s="13"/>
      <c r="M53" s="15"/>
      <c r="N53" s="74"/>
    </row>
    <row r="54" spans="1:14" ht="15.5" x14ac:dyDescent="0.35">
      <c r="A54" s="6" t="s">
        <v>139</v>
      </c>
      <c r="B54" s="28">
        <v>9</v>
      </c>
      <c r="C54" s="10">
        <f>'Ingredient Cost'!D90</f>
        <v>0.22</v>
      </c>
      <c r="D54" s="10">
        <f>B54*C54</f>
        <v>1.98</v>
      </c>
      <c r="E54" s="13"/>
      <c r="F54" s="6" t="s">
        <v>139</v>
      </c>
      <c r="G54" s="28">
        <v>6</v>
      </c>
      <c r="H54" s="10">
        <v>0.1</v>
      </c>
      <c r="I54" s="10">
        <f>G54*H54</f>
        <v>0.60000000000000009</v>
      </c>
      <c r="J54" s="13"/>
      <c r="K54" s="7"/>
      <c r="L54" s="13"/>
      <c r="M54" s="15"/>
      <c r="N54" s="15"/>
    </row>
    <row r="55" spans="1:14" ht="15.5" x14ac:dyDescent="0.35">
      <c r="A55" s="7" t="s">
        <v>66</v>
      </c>
      <c r="B55" s="28">
        <v>1</v>
      </c>
      <c r="C55" s="10">
        <f>'Ingredient Cost'!D108</f>
        <v>0.2</v>
      </c>
      <c r="D55" s="10">
        <f>B55*C55</f>
        <v>0.2</v>
      </c>
      <c r="E55" s="13"/>
      <c r="F55" s="7" t="s">
        <v>66</v>
      </c>
      <c r="G55" s="28">
        <v>1</v>
      </c>
      <c r="H55" s="10">
        <f>C55</f>
        <v>0.2</v>
      </c>
      <c r="I55" s="10">
        <f>G55*H55</f>
        <v>0.2</v>
      </c>
      <c r="J55" s="13"/>
      <c r="K55" s="7"/>
      <c r="L55" s="13"/>
      <c r="M55" s="15"/>
      <c r="N55" s="15"/>
    </row>
    <row r="56" spans="1:14" ht="15.5" x14ac:dyDescent="0.35">
      <c r="A56" s="7" t="s">
        <v>180</v>
      </c>
      <c r="B56" s="28">
        <v>75</v>
      </c>
      <c r="C56" s="10">
        <f>C44</f>
        <v>20</v>
      </c>
      <c r="D56" s="10">
        <f>C56/B56</f>
        <v>0.26666666666666666</v>
      </c>
      <c r="E56" s="13"/>
      <c r="F56" s="7" t="s">
        <v>180</v>
      </c>
      <c r="G56" s="28">
        <v>75</v>
      </c>
      <c r="H56" s="10">
        <f>C44</f>
        <v>20</v>
      </c>
      <c r="I56" s="10">
        <f>H56/G56</f>
        <v>0.26666666666666666</v>
      </c>
      <c r="J56" s="13"/>
      <c r="K56" s="7"/>
      <c r="L56" s="13"/>
      <c r="M56" s="15"/>
      <c r="N56" s="15"/>
    </row>
    <row r="57" spans="1:14" ht="15.5" x14ac:dyDescent="0.35">
      <c r="A57" s="7"/>
      <c r="B57" s="28"/>
      <c r="C57" s="10"/>
      <c r="D57" s="10"/>
      <c r="E57" s="13"/>
      <c r="F57" s="7" t="s">
        <v>67</v>
      </c>
      <c r="G57" s="28">
        <v>6</v>
      </c>
      <c r="H57" s="10">
        <f>'Steak Pie v2'!H64</f>
        <v>0.01</v>
      </c>
      <c r="I57" s="10">
        <f>G57*H57</f>
        <v>0.06</v>
      </c>
      <c r="J57" s="13"/>
      <c r="K57" s="7"/>
      <c r="L57" s="13"/>
      <c r="M57" s="15"/>
      <c r="N57" s="15"/>
    </row>
    <row r="58" spans="1:14" ht="15.5" x14ac:dyDescent="0.35">
      <c r="A58" s="7"/>
      <c r="B58" s="28"/>
      <c r="C58" s="10"/>
      <c r="D58" s="10"/>
      <c r="E58" s="13"/>
      <c r="F58" s="7" t="s">
        <v>184</v>
      </c>
      <c r="G58" s="28">
        <v>6</v>
      </c>
      <c r="H58" s="10">
        <v>0.01</v>
      </c>
      <c r="I58" s="10">
        <f>G58*H58</f>
        <v>0.06</v>
      </c>
      <c r="J58" s="13"/>
      <c r="K58" s="7"/>
      <c r="L58" s="13"/>
      <c r="M58" s="15"/>
      <c r="N58" s="15"/>
    </row>
    <row r="59" spans="1:14" ht="15.5" x14ac:dyDescent="0.35">
      <c r="A59" s="7"/>
      <c r="B59" s="12"/>
      <c r="C59" s="10"/>
      <c r="D59" s="10"/>
      <c r="E59" s="13"/>
      <c r="F59" s="7"/>
      <c r="G59" s="12"/>
      <c r="H59" s="10"/>
      <c r="I59" s="10"/>
      <c r="J59" s="13"/>
      <c r="K59" s="7"/>
      <c r="L59" s="13"/>
      <c r="M59" s="15"/>
      <c r="N59" s="15"/>
    </row>
    <row r="60" spans="1:14" ht="13" x14ac:dyDescent="0.3">
      <c r="A60" s="13"/>
      <c r="B60" s="13"/>
      <c r="C60" s="15"/>
      <c r="D60" s="14"/>
      <c r="E60" s="13"/>
      <c r="F60" s="13"/>
      <c r="G60" s="13"/>
      <c r="H60" s="15"/>
      <c r="I60" s="14"/>
      <c r="J60" s="13"/>
      <c r="K60" s="13"/>
      <c r="L60" s="13"/>
      <c r="M60" s="15"/>
      <c r="N60" s="15"/>
    </row>
    <row r="61" spans="1:14" ht="15.5" x14ac:dyDescent="0.35">
      <c r="A61" s="6" t="s">
        <v>0</v>
      </c>
      <c r="B61" s="13"/>
      <c r="C61" s="15"/>
      <c r="D61" s="19">
        <f>D52+D53+D54+D55+D56</f>
        <v>10.844618579271089</v>
      </c>
      <c r="E61" s="13"/>
      <c r="F61" s="6" t="s">
        <v>0</v>
      </c>
      <c r="G61" s="13"/>
      <c r="H61" s="15"/>
      <c r="I61" s="19">
        <f>I52+I53+I54+I55+I56+I57+I58</f>
        <v>11.356847678295287</v>
      </c>
      <c r="J61" s="13"/>
      <c r="K61" s="7"/>
      <c r="L61" s="13"/>
      <c r="M61" s="15"/>
      <c r="N61" s="82"/>
    </row>
    <row r="62" spans="1:14" ht="15.5" x14ac:dyDescent="0.35">
      <c r="A62" s="7" t="s">
        <v>182</v>
      </c>
      <c r="D62" s="74">
        <f>D61/9</f>
        <v>1.2049576199190097</v>
      </c>
      <c r="F62" s="7" t="s">
        <v>182</v>
      </c>
      <c r="I62" s="74">
        <f>I61/6</f>
        <v>1.8928079463825478</v>
      </c>
    </row>
  </sheetData>
  <mergeCells count="6">
    <mergeCell ref="A1:Q1"/>
    <mergeCell ref="A2:Q2"/>
    <mergeCell ref="A3:E3"/>
    <mergeCell ref="B4:H14"/>
    <mergeCell ref="B50:D50"/>
    <mergeCell ref="G50:I50"/>
  </mergeCells>
  <pageMargins left="0.7" right="0.7" top="0.75" bottom="0.75" header="0.3" footer="0.3"/>
  <pageSetup paperSize="9" orientation="portrait" horizontalDpi="4294967293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9DBE-FB8F-48A7-8B52-24D804C470AC}">
  <dimension ref="A1:Q85"/>
  <sheetViews>
    <sheetView showGridLines="0" workbookViewId="0">
      <selection activeCell="A24" sqref="A24"/>
    </sheetView>
  </sheetViews>
  <sheetFormatPr defaultRowHeight="12.5" x14ac:dyDescent="0.25"/>
  <cols>
    <col min="1" max="1" width="22.81640625" customWidth="1"/>
    <col min="3" max="3" width="10.08984375" customWidth="1"/>
    <col min="5" max="5" width="11.453125" customWidth="1"/>
    <col min="6" max="6" width="23.1796875" customWidth="1"/>
    <col min="8" max="8" width="7.08984375" customWidth="1"/>
    <col min="11" max="11" width="24.90625" customWidth="1"/>
    <col min="13" max="13" width="8.453125" customWidth="1"/>
    <col min="14" max="14" width="11.6328125" customWidth="1"/>
  </cols>
  <sheetData>
    <row r="1" spans="1:17" ht="26" customHeight="1" x14ac:dyDescent="0.25">
      <c r="A1" s="177" t="s">
        <v>451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9"/>
      <c r="N1" s="178"/>
      <c r="O1" s="173"/>
      <c r="P1" s="173"/>
      <c r="Q1" s="173"/>
    </row>
    <row r="2" spans="1:17" ht="26" x14ac:dyDescent="0.25">
      <c r="A2" s="177" t="s">
        <v>452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4"/>
      <c r="P2" s="174"/>
      <c r="Q2" s="174"/>
    </row>
    <row r="3" spans="1:17" ht="26" x14ac:dyDescent="0.25">
      <c r="A3" s="192" t="s">
        <v>191</v>
      </c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27"/>
      <c r="P3" s="27"/>
      <c r="Q3" s="27"/>
    </row>
    <row r="4" spans="1:17" ht="15.75" hidden="1" customHeight="1" x14ac:dyDescent="0.3">
      <c r="A4" s="150" t="s">
        <v>6</v>
      </c>
      <c r="B4" s="254" t="s">
        <v>24</v>
      </c>
      <c r="C4" s="255"/>
      <c r="D4" s="255"/>
      <c r="E4" s="255"/>
      <c r="F4" s="255"/>
      <c r="G4" s="255"/>
      <c r="H4" s="255"/>
      <c r="I4" s="21"/>
      <c r="J4" s="22"/>
      <c r="K4" s="22"/>
      <c r="L4" s="22"/>
      <c r="M4" s="13"/>
      <c r="N4" s="13"/>
      <c r="O4" s="13"/>
      <c r="P4" s="13"/>
      <c r="Q4" s="13"/>
    </row>
    <row r="5" spans="1:17" ht="13" hidden="1" x14ac:dyDescent="0.3">
      <c r="A5" s="13"/>
      <c r="B5" s="254"/>
      <c r="C5" s="255"/>
      <c r="D5" s="255"/>
      <c r="E5" s="255"/>
      <c r="F5" s="255"/>
      <c r="G5" s="255"/>
      <c r="H5" s="255"/>
      <c r="I5" s="21"/>
      <c r="J5" s="22"/>
      <c r="K5" s="22"/>
      <c r="L5" s="22"/>
      <c r="M5" s="13"/>
      <c r="N5" s="13"/>
      <c r="O5" s="13"/>
      <c r="P5" s="13"/>
      <c r="Q5" s="13"/>
    </row>
    <row r="6" spans="1:17" ht="13" hidden="1" x14ac:dyDescent="0.3">
      <c r="A6" s="13"/>
      <c r="B6" s="254"/>
      <c r="C6" s="255"/>
      <c r="D6" s="255"/>
      <c r="E6" s="255"/>
      <c r="F6" s="255"/>
      <c r="G6" s="255"/>
      <c r="H6" s="255"/>
      <c r="I6" s="21"/>
      <c r="J6" s="22"/>
      <c r="K6" s="22"/>
      <c r="L6" s="22"/>
      <c r="M6" s="13"/>
      <c r="N6" s="13"/>
      <c r="O6" s="13"/>
      <c r="P6" s="13"/>
      <c r="Q6" s="13"/>
    </row>
    <row r="7" spans="1:17" ht="13" hidden="1" x14ac:dyDescent="0.3">
      <c r="A7" s="13"/>
      <c r="B7" s="254"/>
      <c r="C7" s="255"/>
      <c r="D7" s="255"/>
      <c r="E7" s="255"/>
      <c r="F7" s="255"/>
      <c r="G7" s="255"/>
      <c r="H7" s="255"/>
      <c r="I7" s="21"/>
      <c r="J7" s="22"/>
      <c r="K7" s="22"/>
      <c r="L7" s="22"/>
      <c r="M7" s="13"/>
      <c r="N7" s="13"/>
      <c r="O7" s="13"/>
      <c r="P7" s="13"/>
      <c r="Q7" s="13"/>
    </row>
    <row r="8" spans="1:17" ht="13" hidden="1" x14ac:dyDescent="0.3">
      <c r="A8" s="13"/>
      <c r="B8" s="254"/>
      <c r="C8" s="255"/>
      <c r="D8" s="255"/>
      <c r="E8" s="255"/>
      <c r="F8" s="255"/>
      <c r="G8" s="255"/>
      <c r="H8" s="255"/>
      <c r="I8" s="21"/>
      <c r="J8" s="22"/>
      <c r="K8" s="22"/>
      <c r="L8" s="22"/>
      <c r="M8" s="13"/>
      <c r="N8" s="13"/>
      <c r="O8" s="13"/>
      <c r="P8" s="13"/>
      <c r="Q8" s="13"/>
    </row>
    <row r="9" spans="1:17" ht="13" hidden="1" x14ac:dyDescent="0.3">
      <c r="A9" s="13"/>
      <c r="B9" s="254"/>
      <c r="C9" s="255"/>
      <c r="D9" s="255"/>
      <c r="E9" s="255"/>
      <c r="F9" s="255"/>
      <c r="G9" s="255"/>
      <c r="H9" s="255"/>
      <c r="I9" s="21"/>
      <c r="J9" s="22"/>
      <c r="K9" s="22"/>
      <c r="L9" s="22"/>
      <c r="M9" s="13"/>
      <c r="N9" s="13"/>
      <c r="O9" s="13"/>
      <c r="P9" s="13"/>
      <c r="Q9" s="13"/>
    </row>
    <row r="10" spans="1:17" ht="13" hidden="1" x14ac:dyDescent="0.3">
      <c r="A10" s="13"/>
      <c r="B10" s="254"/>
      <c r="C10" s="255"/>
      <c r="D10" s="255"/>
      <c r="E10" s="255"/>
      <c r="F10" s="255"/>
      <c r="G10" s="255"/>
      <c r="H10" s="255"/>
      <c r="I10" s="21"/>
      <c r="J10" s="22"/>
      <c r="K10" s="22"/>
      <c r="L10" s="22"/>
      <c r="M10" s="13"/>
      <c r="N10" s="13"/>
      <c r="O10" s="13"/>
      <c r="P10" s="13"/>
      <c r="Q10" s="13"/>
    </row>
    <row r="11" spans="1:17" ht="13" hidden="1" x14ac:dyDescent="0.3">
      <c r="A11" s="13"/>
      <c r="B11" s="254"/>
      <c r="C11" s="255"/>
      <c r="D11" s="255"/>
      <c r="E11" s="255"/>
      <c r="F11" s="255"/>
      <c r="G11" s="255"/>
      <c r="H11" s="255"/>
      <c r="I11" s="21"/>
      <c r="J11" s="22"/>
      <c r="K11" s="22"/>
      <c r="L11" s="22"/>
      <c r="M11" s="13"/>
      <c r="N11" s="13"/>
      <c r="O11" s="13"/>
      <c r="P11" s="13"/>
      <c r="Q11" s="13"/>
    </row>
    <row r="12" spans="1:17" ht="13" hidden="1" x14ac:dyDescent="0.3">
      <c r="A12" s="13"/>
      <c r="B12" s="254"/>
      <c r="C12" s="255"/>
      <c r="D12" s="255"/>
      <c r="E12" s="255"/>
      <c r="F12" s="255"/>
      <c r="G12" s="255"/>
      <c r="H12" s="255"/>
      <c r="I12" s="21"/>
      <c r="J12" s="22"/>
      <c r="K12" s="22"/>
      <c r="L12" s="22"/>
      <c r="M12" s="13"/>
      <c r="N12" s="13"/>
      <c r="O12" s="13"/>
      <c r="P12" s="13"/>
      <c r="Q12" s="13"/>
    </row>
    <row r="13" spans="1:17" ht="13" hidden="1" x14ac:dyDescent="0.3">
      <c r="A13" s="13"/>
      <c r="B13" s="254"/>
      <c r="C13" s="255"/>
      <c r="D13" s="255"/>
      <c r="E13" s="255"/>
      <c r="F13" s="255"/>
      <c r="G13" s="255"/>
      <c r="H13" s="255"/>
      <c r="I13" s="21"/>
      <c r="J13" s="22"/>
      <c r="K13" s="22"/>
      <c r="L13" s="22"/>
      <c r="M13" s="13"/>
      <c r="N13" s="13"/>
      <c r="O13" s="13"/>
      <c r="P13" s="13"/>
      <c r="Q13" s="13"/>
    </row>
    <row r="14" spans="1:17" ht="13" hidden="1" x14ac:dyDescent="0.3">
      <c r="A14" s="172"/>
      <c r="B14" s="254"/>
      <c r="C14" s="255"/>
      <c r="D14" s="255"/>
      <c r="E14" s="255"/>
      <c r="F14" s="255"/>
      <c r="G14" s="255"/>
      <c r="H14" s="255"/>
      <c r="I14" s="21"/>
      <c r="J14" s="22"/>
      <c r="K14" s="22"/>
      <c r="L14" s="22"/>
      <c r="M14" s="13"/>
      <c r="N14" s="13"/>
      <c r="O14" s="13"/>
      <c r="P14" s="13"/>
      <c r="Q14" s="13"/>
    </row>
    <row r="15" spans="1:17" ht="13" x14ac:dyDescent="0.3">
      <c r="A15" s="13"/>
      <c r="B15" s="153"/>
      <c r="C15" s="153"/>
      <c r="D15" s="153"/>
      <c r="E15" s="153"/>
      <c r="F15" s="153"/>
      <c r="G15" s="153"/>
      <c r="H15" s="153"/>
      <c r="I15" s="22"/>
      <c r="J15" s="22"/>
      <c r="K15" s="22"/>
      <c r="L15" s="22"/>
      <c r="M15" s="13"/>
      <c r="N15" s="13"/>
      <c r="O15" s="13"/>
      <c r="P15" s="13"/>
      <c r="Q15" s="13"/>
    </row>
    <row r="16" spans="1:17" ht="15.5" x14ac:dyDescent="0.35">
      <c r="A16" s="183" t="s">
        <v>455</v>
      </c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6"/>
      <c r="N16" s="186"/>
      <c r="O16" s="13"/>
      <c r="P16" s="13"/>
      <c r="Q16" s="13"/>
    </row>
    <row r="17" spans="1:17" ht="15.5" x14ac:dyDescent="0.35">
      <c r="A17" s="7"/>
      <c r="B17" s="153"/>
      <c r="C17" s="153"/>
      <c r="D17" s="153"/>
      <c r="E17" s="153"/>
      <c r="F17" s="153"/>
      <c r="G17" s="153"/>
      <c r="H17" s="153"/>
      <c r="I17" s="22"/>
      <c r="J17" s="22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193" t="s">
        <v>199</v>
      </c>
      <c r="B18" s="193"/>
      <c r="C18" s="194"/>
      <c r="D18" s="194"/>
      <c r="E18" s="153"/>
      <c r="F18" s="190" t="s">
        <v>458</v>
      </c>
      <c r="G18" s="159"/>
      <c r="H18" s="161"/>
      <c r="I18" s="162"/>
      <c r="J18" s="22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/>
      <c r="B19" s="7" t="s">
        <v>1</v>
      </c>
      <c r="C19" s="8" t="s">
        <v>2</v>
      </c>
      <c r="D19" s="8" t="s">
        <v>4</v>
      </c>
      <c r="E19" s="153"/>
      <c r="F19" s="7"/>
      <c r="G19" s="7" t="s">
        <v>1</v>
      </c>
      <c r="H19" s="8" t="s">
        <v>2</v>
      </c>
      <c r="I19" s="8" t="s">
        <v>4</v>
      </c>
      <c r="J19" s="22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108</v>
      </c>
      <c r="B20" s="28">
        <v>1.25</v>
      </c>
      <c r="C20" s="10">
        <f>'Ingredient Cost'!D62</f>
        <v>7.55</v>
      </c>
      <c r="D20" s="11">
        <f>B20*C20</f>
        <v>9.4375</v>
      </c>
      <c r="E20" s="152"/>
      <c r="F20" s="7" t="s">
        <v>10</v>
      </c>
      <c r="G20" s="28">
        <v>2.5</v>
      </c>
      <c r="H20" s="10"/>
      <c r="I20" s="156"/>
      <c r="J20" s="21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6" t="s">
        <v>524</v>
      </c>
      <c r="B21" s="28">
        <v>0.3</v>
      </c>
      <c r="C21" s="10">
        <f>'Ingredient Cost'!D63</f>
        <v>6</v>
      </c>
      <c r="D21" s="11">
        <f>B21*C21</f>
        <v>1.7999999999999998</v>
      </c>
      <c r="E21" s="158"/>
      <c r="F21" s="7" t="s">
        <v>13</v>
      </c>
      <c r="G21" s="28">
        <v>4</v>
      </c>
      <c r="H21" s="10">
        <f>'Ingredient Cost'!$D$6</f>
        <v>2.06</v>
      </c>
      <c r="I21" s="156">
        <f>G21*H21</f>
        <v>8.24</v>
      </c>
      <c r="J21" s="158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6" t="s">
        <v>110</v>
      </c>
      <c r="B22" s="28">
        <v>2.25</v>
      </c>
      <c r="C22" s="10">
        <f>'Ingredient Cost'!D12</f>
        <v>0.74</v>
      </c>
      <c r="D22" s="10">
        <f>B22*C22</f>
        <v>1.665</v>
      </c>
      <c r="E22" s="158"/>
      <c r="F22" s="7" t="s">
        <v>14</v>
      </c>
      <c r="G22" s="28">
        <v>8</v>
      </c>
      <c r="H22" s="10">
        <f>'Ingredient Cost'!$D$7</f>
        <v>0.62</v>
      </c>
      <c r="I22" s="157">
        <f>G22*H22</f>
        <v>4.96</v>
      </c>
      <c r="J22" s="158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111</v>
      </c>
      <c r="B23" s="28">
        <v>0.375</v>
      </c>
      <c r="C23" s="10">
        <f>'Ingredient Cost'!D20</f>
        <v>8.9499999999999993</v>
      </c>
      <c r="D23" s="10">
        <f>B23*C23</f>
        <v>3.3562499999999997</v>
      </c>
      <c r="E23" s="158"/>
      <c r="F23" s="7" t="s">
        <v>15</v>
      </c>
      <c r="G23" s="28">
        <v>0.15</v>
      </c>
      <c r="H23" s="10">
        <f>'Ingredient Cost'!$D$8</f>
        <v>0.54</v>
      </c>
      <c r="I23" s="157">
        <f>G23*H23</f>
        <v>8.1000000000000003E-2</v>
      </c>
      <c r="J23" s="158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 t="s">
        <v>4</v>
      </c>
      <c r="B24" s="12">
        <f>SUM(B20:B23)</f>
        <v>4.1749999999999998</v>
      </c>
      <c r="C24" s="10"/>
      <c r="D24" s="10">
        <f>SUM(D20:D23)</f>
        <v>16.258749999999999</v>
      </c>
      <c r="E24" s="158"/>
      <c r="F24" s="7" t="s">
        <v>4</v>
      </c>
      <c r="G24" s="154">
        <f>G20+G21+G22+G23</f>
        <v>14.65</v>
      </c>
      <c r="H24" s="155"/>
      <c r="I24" s="155">
        <f>SUM(I20:I23)</f>
        <v>13.280999999999999</v>
      </c>
      <c r="J24" s="158"/>
      <c r="K24" s="22"/>
      <c r="L24" s="22"/>
      <c r="M24" s="13"/>
      <c r="N24" s="13"/>
      <c r="O24" s="13"/>
      <c r="P24" s="13"/>
      <c r="Q24" s="13"/>
    </row>
    <row r="25" spans="1:17" ht="13" x14ac:dyDescent="0.3">
      <c r="A25" s="13"/>
      <c r="B25" s="13"/>
      <c r="C25" s="15"/>
      <c r="D25" s="15"/>
      <c r="E25" s="13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6" t="s">
        <v>0</v>
      </c>
      <c r="B26" s="13"/>
      <c r="C26" s="15"/>
      <c r="D26" s="20">
        <f>D24/B24</f>
        <v>3.8943113772455091</v>
      </c>
      <c r="E26" s="13"/>
      <c r="F26" s="7" t="s">
        <v>453</v>
      </c>
      <c r="G26" s="13"/>
      <c r="H26" s="15"/>
      <c r="I26" s="74">
        <f>I24/G24</f>
        <v>0.90655290102389063</v>
      </c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7"/>
      <c r="B27" s="13"/>
      <c r="C27" s="15"/>
      <c r="D27" s="20"/>
      <c r="E27" s="13"/>
      <c r="F27" s="7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164" t="s">
        <v>457</v>
      </c>
      <c r="B28" s="166"/>
      <c r="C28" s="167"/>
      <c r="D28" s="168"/>
      <c r="E28" s="166"/>
      <c r="F28" s="164"/>
      <c r="G28" s="166"/>
      <c r="H28" s="167"/>
      <c r="I28" s="168"/>
      <c r="J28" s="166"/>
      <c r="K28" s="169"/>
      <c r="L28" s="169"/>
      <c r="M28" s="166"/>
      <c r="N28" s="166"/>
      <c r="O28" s="13"/>
      <c r="P28" s="13"/>
      <c r="Q28" s="13"/>
    </row>
    <row r="29" spans="1:17" ht="15.5" x14ac:dyDescent="0.35">
      <c r="A29" s="7"/>
      <c r="B29" s="13"/>
      <c r="C29" s="15"/>
      <c r="D29" s="20"/>
      <c r="E29" s="13"/>
      <c r="F29" s="7"/>
      <c r="G29" s="13"/>
      <c r="H29" s="15"/>
      <c r="I29" s="20"/>
      <c r="J29" s="13"/>
      <c r="K29" s="22"/>
      <c r="L29" s="22"/>
      <c r="M29" s="13"/>
      <c r="N29" s="13"/>
      <c r="O29" s="13"/>
      <c r="P29" s="13"/>
      <c r="Q29" s="13"/>
    </row>
    <row r="30" spans="1:17" ht="15.5" x14ac:dyDescent="0.35">
      <c r="A30" s="159" t="s">
        <v>166</v>
      </c>
      <c r="B30" s="160"/>
      <c r="C30" s="161"/>
      <c r="D30" s="162"/>
      <c r="F30" s="159" t="s">
        <v>42</v>
      </c>
      <c r="G30" s="159"/>
      <c r="H30" s="161"/>
      <c r="I30" s="162"/>
      <c r="K30" s="159" t="s">
        <v>43</v>
      </c>
      <c r="L30" s="160"/>
      <c r="M30" s="161"/>
      <c r="N30" s="162"/>
    </row>
    <row r="31" spans="1:17" ht="15.5" x14ac:dyDescent="0.35">
      <c r="A31" s="6"/>
      <c r="B31" s="7" t="s">
        <v>1</v>
      </c>
      <c r="C31" s="8" t="s">
        <v>2</v>
      </c>
      <c r="D31" s="8" t="s">
        <v>4</v>
      </c>
      <c r="E31" s="13"/>
      <c r="F31" s="7"/>
      <c r="G31" s="7" t="s">
        <v>1</v>
      </c>
      <c r="H31" s="8" t="s">
        <v>2</v>
      </c>
      <c r="I31" s="8" t="s">
        <v>4</v>
      </c>
      <c r="J31" s="13"/>
      <c r="K31" s="7"/>
      <c r="L31" s="7" t="s">
        <v>1</v>
      </c>
      <c r="M31" s="8" t="s">
        <v>2</v>
      </c>
      <c r="N31" s="8" t="s">
        <v>4</v>
      </c>
    </row>
    <row r="32" spans="1:17" ht="15.5" x14ac:dyDescent="0.35">
      <c r="A32" s="6" t="s">
        <v>113</v>
      </c>
      <c r="B32" s="28">
        <v>0.129</v>
      </c>
      <c r="C32" s="10">
        <f>$D$26</f>
        <v>3.8943113772455091</v>
      </c>
      <c r="D32" s="11">
        <f>B32*C32</f>
        <v>0.50236616766467068</v>
      </c>
      <c r="E32" s="13"/>
      <c r="F32" s="171" t="s">
        <v>113</v>
      </c>
      <c r="G32" s="170">
        <v>0.3</v>
      </c>
      <c r="H32" s="10">
        <f>$D$26</f>
        <v>3.8943113772455091</v>
      </c>
      <c r="I32" s="11">
        <f>G32*H32</f>
        <v>1.1682934131736527</v>
      </c>
      <c r="J32" s="13"/>
      <c r="K32" s="171" t="s">
        <v>113</v>
      </c>
      <c r="L32" s="170">
        <v>0.6</v>
      </c>
      <c r="M32" s="10">
        <f>$D$26</f>
        <v>3.8943113772455091</v>
      </c>
      <c r="N32" s="11">
        <f>L32*M32</f>
        <v>2.3365868263473053</v>
      </c>
    </row>
    <row r="33" spans="1:14" ht="15.5" x14ac:dyDescent="0.35">
      <c r="A33" s="6" t="s">
        <v>152</v>
      </c>
      <c r="B33" s="80"/>
      <c r="C33" s="81">
        <f>'Pastry Costing'!F34</f>
        <v>0</v>
      </c>
      <c r="D33" s="10">
        <f>'Pastry Costing'!F30</f>
        <v>0.2107946902228468</v>
      </c>
      <c r="E33" s="13"/>
      <c r="F33" s="171" t="s">
        <v>152</v>
      </c>
      <c r="G33" s="211"/>
      <c r="H33" s="81">
        <f>'Pastry Costing'!K34</f>
        <v>0</v>
      </c>
      <c r="I33" s="10">
        <f>'Pastry Costing'!F31</f>
        <v>0.34141430034129694</v>
      </c>
      <c r="J33" s="13"/>
      <c r="K33" s="171" t="s">
        <v>152</v>
      </c>
      <c r="L33" s="170"/>
      <c r="M33" s="81">
        <f>'Pastry Costing'!P34</f>
        <v>0</v>
      </c>
      <c r="N33" s="10">
        <f>'Pastry Costing'!F32</f>
        <v>0.52407440273037542</v>
      </c>
    </row>
    <row r="34" spans="1:14" ht="15.5" x14ac:dyDescent="0.35">
      <c r="A34" s="7" t="s">
        <v>106</v>
      </c>
      <c r="B34" s="28"/>
      <c r="C34" s="10">
        <f>'Ingredient Cost'!$D$95</f>
        <v>0.09</v>
      </c>
      <c r="D34" s="10">
        <f>C34</f>
        <v>0.09</v>
      </c>
      <c r="E34" s="13"/>
      <c r="F34" s="7" t="s">
        <v>106</v>
      </c>
      <c r="G34" s="28"/>
      <c r="H34" s="10">
        <f>'Ingredient Cost'!$D$95</f>
        <v>0.09</v>
      </c>
      <c r="I34" s="10">
        <f>H34</f>
        <v>0.09</v>
      </c>
      <c r="J34" s="13"/>
      <c r="K34" s="7" t="s">
        <v>106</v>
      </c>
      <c r="L34" s="28"/>
      <c r="M34" s="10">
        <f>'Ingredient Cost'!$D$95</f>
        <v>0.09</v>
      </c>
      <c r="N34" s="11">
        <f>M34</f>
        <v>0.09</v>
      </c>
    </row>
    <row r="35" spans="1:14" ht="15.5" x14ac:dyDescent="0.35">
      <c r="A35" s="7" t="s">
        <v>115</v>
      </c>
      <c r="B35" s="28">
        <v>1</v>
      </c>
      <c r="C35" s="10">
        <f>'Ingredient Cost'!$D$11</f>
        <v>0.02</v>
      </c>
      <c r="D35" s="10">
        <f>B35*C35</f>
        <v>0.02</v>
      </c>
      <c r="E35" s="13"/>
      <c r="F35" s="7" t="s">
        <v>115</v>
      </c>
      <c r="G35" s="28">
        <v>1</v>
      </c>
      <c r="H35" s="10">
        <f>'Ingredient Cost'!$D$11</f>
        <v>0.02</v>
      </c>
      <c r="I35" s="10">
        <f>G35*H35</f>
        <v>0.02</v>
      </c>
      <c r="J35" s="13"/>
      <c r="K35" s="7" t="s">
        <v>115</v>
      </c>
      <c r="L35" s="28">
        <v>1</v>
      </c>
      <c r="M35" s="10">
        <f>'Ingredient Cost'!$D$11</f>
        <v>0.02</v>
      </c>
      <c r="N35" s="10">
        <f>L35*M35</f>
        <v>0.02</v>
      </c>
    </row>
    <row r="36" spans="1:14" ht="15.5" x14ac:dyDescent="0.35">
      <c r="A36" s="7" t="s">
        <v>0</v>
      </c>
      <c r="B36" s="13"/>
      <c r="C36" s="15"/>
      <c r="D36" s="74">
        <f>SUM(D32:D33)</f>
        <v>0.71316085788751749</v>
      </c>
      <c r="E36" s="13"/>
      <c r="F36" s="7" t="s">
        <v>0</v>
      </c>
      <c r="G36" s="13"/>
      <c r="H36" s="15"/>
      <c r="I36" s="74">
        <f>SUM(I32:I33)</f>
        <v>1.5097077135149495</v>
      </c>
      <c r="J36" s="13"/>
      <c r="K36" s="7" t="s">
        <v>0</v>
      </c>
      <c r="L36" s="13"/>
      <c r="M36" s="15"/>
      <c r="N36" s="74">
        <f>SUM(N32:N33)</f>
        <v>2.8606612290776807</v>
      </c>
    </row>
    <row r="37" spans="1:14" ht="15.5" x14ac:dyDescent="0.35">
      <c r="A37" s="7"/>
      <c r="B37" s="13"/>
      <c r="C37" s="15"/>
      <c r="D37" s="74"/>
      <c r="E37" s="13"/>
      <c r="F37" s="7"/>
      <c r="G37" s="13"/>
      <c r="H37" s="15"/>
      <c r="I37" s="74"/>
      <c r="J37" s="13"/>
      <c r="K37" s="7"/>
      <c r="L37" s="13"/>
      <c r="M37" s="15"/>
      <c r="N37" s="74"/>
    </row>
    <row r="38" spans="1:14" ht="15.5" x14ac:dyDescent="0.35">
      <c r="A38" s="164" t="s">
        <v>460</v>
      </c>
      <c r="B38" s="166"/>
      <c r="C38" s="167"/>
      <c r="D38" s="188"/>
      <c r="E38" s="166"/>
      <c r="F38" s="164"/>
      <c r="G38" s="166"/>
      <c r="H38" s="167"/>
      <c r="I38" s="188"/>
      <c r="J38" s="166"/>
      <c r="K38" s="164"/>
      <c r="L38" s="166"/>
      <c r="M38" s="167"/>
      <c r="N38" s="188"/>
    </row>
    <row r="39" spans="1:14" ht="15.5" x14ac:dyDescent="0.35">
      <c r="A39" s="7"/>
      <c r="B39" s="13"/>
      <c r="C39" s="15"/>
      <c r="D39" s="74"/>
      <c r="E39" s="13"/>
      <c r="F39" s="7"/>
      <c r="G39" s="13"/>
      <c r="H39" s="15"/>
      <c r="I39" s="74"/>
      <c r="J39" s="13"/>
      <c r="K39" s="7"/>
      <c r="L39" s="13"/>
      <c r="M39" s="15"/>
      <c r="N39" s="74"/>
    </row>
    <row r="40" spans="1:14" ht="15.5" x14ac:dyDescent="0.35">
      <c r="A40" s="159" t="s">
        <v>459</v>
      </c>
      <c r="B40" s="160"/>
      <c r="C40" s="161"/>
      <c r="D40" s="162"/>
      <c r="F40" s="159" t="s">
        <v>42</v>
      </c>
      <c r="G40" s="159"/>
      <c r="H40" s="161"/>
      <c r="I40" s="162"/>
      <c r="K40" s="159" t="s">
        <v>43</v>
      </c>
      <c r="L40" s="160"/>
      <c r="M40" s="161"/>
      <c r="N40" s="162"/>
    </row>
    <row r="41" spans="1:14" ht="15.5" x14ac:dyDescent="0.35">
      <c r="A41" s="6"/>
      <c r="B41" s="7" t="s">
        <v>1</v>
      </c>
      <c r="C41" s="8" t="s">
        <v>2</v>
      </c>
      <c r="D41" s="8" t="s">
        <v>4</v>
      </c>
      <c r="E41" s="13"/>
      <c r="F41" s="7"/>
      <c r="G41" s="7" t="s">
        <v>1</v>
      </c>
      <c r="H41" s="8" t="s">
        <v>2</v>
      </c>
      <c r="I41" s="8" t="s">
        <v>4</v>
      </c>
      <c r="J41" s="13"/>
      <c r="K41" s="7"/>
      <c r="L41" s="7" t="s">
        <v>1</v>
      </c>
      <c r="M41" s="8" t="s">
        <v>2</v>
      </c>
      <c r="N41" s="8" t="s">
        <v>4</v>
      </c>
    </row>
    <row r="42" spans="1:14" ht="15.5" x14ac:dyDescent="0.35">
      <c r="A42" s="171" t="s">
        <v>449</v>
      </c>
      <c r="B42" s="170">
        <v>1</v>
      </c>
      <c r="C42" s="10">
        <f>$D$36</f>
        <v>0.71316085788751749</v>
      </c>
      <c r="D42" s="156">
        <f>B42*C42</f>
        <v>0.71316085788751749</v>
      </c>
      <c r="E42" s="158"/>
      <c r="F42" s="171" t="s">
        <v>449</v>
      </c>
      <c r="G42" s="170">
        <v>1</v>
      </c>
      <c r="H42" s="10">
        <f>$I$36</f>
        <v>1.5097077135149495</v>
      </c>
      <c r="I42" s="156">
        <f>G42*H42</f>
        <v>1.5097077135149495</v>
      </c>
      <c r="J42" s="158"/>
      <c r="K42" s="171" t="s">
        <v>449</v>
      </c>
      <c r="L42" s="170">
        <v>1</v>
      </c>
      <c r="M42" s="10">
        <f>$N$36</f>
        <v>2.8606612290776807</v>
      </c>
      <c r="N42" s="11">
        <f>L42*M42</f>
        <v>2.8606612290776807</v>
      </c>
    </row>
    <row r="43" spans="1:14" ht="15.5" x14ac:dyDescent="0.35">
      <c r="A43" s="7" t="s">
        <v>106</v>
      </c>
      <c r="B43" s="28">
        <v>1</v>
      </c>
      <c r="C43" s="10">
        <f>'Ingredient Cost'!$D$95</f>
        <v>0.09</v>
      </c>
      <c r="D43" s="10">
        <f>B43*C43</f>
        <v>0.09</v>
      </c>
      <c r="E43" s="13"/>
      <c r="F43" s="7" t="s">
        <v>106</v>
      </c>
      <c r="G43" s="28">
        <v>1</v>
      </c>
      <c r="H43" s="10">
        <f>'Ingredient Cost'!$D$83</f>
        <v>7.0000000000000007E-2</v>
      </c>
      <c r="I43" s="157">
        <f>G43*H43</f>
        <v>7.0000000000000007E-2</v>
      </c>
      <c r="J43" s="158"/>
      <c r="K43" s="7" t="s">
        <v>106</v>
      </c>
      <c r="L43" s="28">
        <v>1</v>
      </c>
      <c r="M43" s="10">
        <f>'Ingredient Cost'!$D$83</f>
        <v>7.0000000000000007E-2</v>
      </c>
      <c r="N43" s="10">
        <f>L43*M43</f>
        <v>7.0000000000000007E-2</v>
      </c>
    </row>
    <row r="44" spans="1:14" ht="15.5" x14ac:dyDescent="0.35">
      <c r="A44" s="7" t="s">
        <v>139</v>
      </c>
      <c r="B44" s="28">
        <v>1</v>
      </c>
      <c r="C44" s="10">
        <f>'Ingredient Cost'!$D$89</f>
        <v>0.06</v>
      </c>
      <c r="D44" s="10">
        <f>B44*C44</f>
        <v>0.06</v>
      </c>
      <c r="E44" s="13"/>
      <c r="F44" s="7" t="s">
        <v>139</v>
      </c>
      <c r="G44" s="28">
        <v>1</v>
      </c>
      <c r="H44" s="10">
        <v>0.22</v>
      </c>
      <c r="I44" s="157">
        <f>H44*G44</f>
        <v>0.22</v>
      </c>
      <c r="J44" s="158"/>
      <c r="K44" s="7" t="s">
        <v>139</v>
      </c>
      <c r="L44" s="28">
        <v>1</v>
      </c>
      <c r="M44" s="10">
        <v>0.3</v>
      </c>
      <c r="N44" s="10">
        <v>0.3</v>
      </c>
    </row>
    <row r="45" spans="1:14" ht="15.5" x14ac:dyDescent="0.35">
      <c r="F45" s="7" t="s">
        <v>67</v>
      </c>
      <c r="G45" s="28">
        <v>1</v>
      </c>
      <c r="H45" s="10">
        <v>0.15</v>
      </c>
      <c r="I45" s="10">
        <v>0.15</v>
      </c>
      <c r="K45" s="7" t="s">
        <v>67</v>
      </c>
      <c r="L45" s="28">
        <v>1</v>
      </c>
      <c r="M45" s="10">
        <v>0.15</v>
      </c>
      <c r="N45" s="10">
        <v>0.15</v>
      </c>
    </row>
    <row r="46" spans="1:14" ht="15.5" x14ac:dyDescent="0.35">
      <c r="A46" s="6" t="s">
        <v>0</v>
      </c>
      <c r="B46" s="13"/>
      <c r="C46" s="15"/>
      <c r="D46" s="74">
        <f>SUM(D42:D44)</f>
        <v>0.8631608578875174</v>
      </c>
      <c r="E46" s="13"/>
      <c r="F46" s="7" t="s">
        <v>0</v>
      </c>
      <c r="G46" s="13"/>
      <c r="H46" s="15"/>
      <c r="I46" s="74">
        <f>SUM(I42:I45)</f>
        <v>1.9497077135149494</v>
      </c>
      <c r="J46" s="13"/>
      <c r="K46" s="7" t="s">
        <v>0</v>
      </c>
      <c r="L46" s="13"/>
      <c r="M46" s="15"/>
      <c r="N46" s="74">
        <f>SUM(N42:N45)</f>
        <v>3.3806612290776803</v>
      </c>
    </row>
    <row r="47" spans="1:14" ht="15.5" x14ac:dyDescent="0.35">
      <c r="A47" s="7"/>
      <c r="B47" s="13"/>
      <c r="C47" s="15"/>
      <c r="D47" s="74"/>
      <c r="E47" s="13"/>
      <c r="F47" s="7"/>
      <c r="G47" s="13"/>
      <c r="H47" s="15"/>
      <c r="I47" s="74"/>
      <c r="J47" s="13"/>
      <c r="K47" s="7"/>
      <c r="L47" s="13"/>
      <c r="M47" s="15"/>
      <c r="N47" s="74"/>
    </row>
    <row r="49" spans="1:17" ht="15.5" x14ac:dyDescent="0.35">
      <c r="A49" s="164" t="s">
        <v>461</v>
      </c>
      <c r="B49" s="165"/>
      <c r="C49" s="167"/>
      <c r="D49" s="189" t="s">
        <v>462</v>
      </c>
      <c r="E49" s="164" t="s">
        <v>456</v>
      </c>
      <c r="F49" s="164"/>
      <c r="G49" s="166"/>
      <c r="H49" s="167"/>
      <c r="I49" s="168"/>
      <c r="J49" s="166"/>
      <c r="K49" s="169"/>
      <c r="L49" s="169"/>
      <c r="M49" s="166"/>
      <c r="N49" s="166"/>
      <c r="O49" s="13"/>
      <c r="P49" s="13"/>
      <c r="Q49" s="13"/>
    </row>
    <row r="50" spans="1:17" ht="15.5" x14ac:dyDescent="0.35">
      <c r="A50" s="7"/>
      <c r="B50" s="13"/>
      <c r="C50" s="15"/>
      <c r="D50" s="20"/>
      <c r="E50" s="13"/>
      <c r="F50" s="22"/>
      <c r="G50" s="22"/>
      <c r="H50" s="22"/>
      <c r="I50" s="22"/>
      <c r="J50" s="22"/>
      <c r="K50" s="22"/>
      <c r="L50" s="22"/>
      <c r="M50" s="13"/>
      <c r="N50" s="13"/>
      <c r="O50" s="13"/>
      <c r="P50" s="13"/>
      <c r="Q50" s="13"/>
    </row>
    <row r="51" spans="1:17" ht="15.5" x14ac:dyDescent="0.35">
      <c r="A51" s="159" t="s">
        <v>166</v>
      </c>
      <c r="B51" s="160"/>
      <c r="C51" s="161"/>
      <c r="D51" s="162"/>
      <c r="F51" s="159" t="s">
        <v>42</v>
      </c>
      <c r="G51" s="159"/>
      <c r="H51" s="161"/>
      <c r="I51" s="162"/>
      <c r="K51" s="159" t="s">
        <v>43</v>
      </c>
      <c r="L51" s="160"/>
      <c r="M51" s="161"/>
      <c r="N51" s="162"/>
    </row>
    <row r="52" spans="1:17" ht="15.5" x14ac:dyDescent="0.35">
      <c r="A52" s="6"/>
      <c r="B52" s="7" t="s">
        <v>1</v>
      </c>
      <c r="C52" s="8" t="s">
        <v>2</v>
      </c>
      <c r="D52" s="8" t="s">
        <v>4</v>
      </c>
      <c r="E52" s="13"/>
      <c r="F52" s="7"/>
      <c r="G52" s="7" t="s">
        <v>1</v>
      </c>
      <c r="H52" s="8" t="s">
        <v>2</v>
      </c>
      <c r="I52" s="8" t="s">
        <v>4</v>
      </c>
      <c r="J52" s="13"/>
      <c r="K52" s="7"/>
      <c r="L52" s="7" t="s">
        <v>1</v>
      </c>
      <c r="M52" s="8" t="s">
        <v>2</v>
      </c>
      <c r="N52" s="8" t="s">
        <v>4</v>
      </c>
    </row>
    <row r="53" spans="1:17" ht="15.5" x14ac:dyDescent="0.35">
      <c r="A53" s="171" t="s">
        <v>463</v>
      </c>
      <c r="B53" s="170">
        <v>1</v>
      </c>
      <c r="C53" s="10">
        <f>$D$46</f>
        <v>0.8631608578875174</v>
      </c>
      <c r="D53" s="156">
        <f>B53*C53</f>
        <v>0.8631608578875174</v>
      </c>
      <c r="E53" s="158"/>
      <c r="F53" s="171" t="s">
        <v>463</v>
      </c>
      <c r="G53" s="170">
        <v>1</v>
      </c>
      <c r="H53" s="10">
        <f>$I$46</f>
        <v>1.9497077135149494</v>
      </c>
      <c r="I53" s="156">
        <f>G53*H53</f>
        <v>1.9497077135149494</v>
      </c>
      <c r="J53" s="158"/>
      <c r="K53" s="171" t="s">
        <v>463</v>
      </c>
      <c r="L53" s="170">
        <v>1</v>
      </c>
      <c r="M53" s="10">
        <f>$N$46</f>
        <v>3.3806612290776803</v>
      </c>
      <c r="N53" s="11">
        <f>L53*M53</f>
        <v>3.3806612290776803</v>
      </c>
    </row>
    <row r="54" spans="1:17" ht="15.5" x14ac:dyDescent="0.35">
      <c r="A54" s="7" t="s">
        <v>180</v>
      </c>
      <c r="B54" s="28">
        <v>60</v>
      </c>
      <c r="C54" s="10">
        <f>'Ingredient Cost'!$B$113</f>
        <v>20</v>
      </c>
      <c r="D54" s="10">
        <f>C54/B54</f>
        <v>0.33333333333333331</v>
      </c>
      <c r="E54" s="13"/>
      <c r="F54" s="7" t="s">
        <v>140</v>
      </c>
      <c r="G54" s="28">
        <v>48</v>
      </c>
      <c r="H54" s="10">
        <f>'Ingredient Cost'!$B$113</f>
        <v>20</v>
      </c>
      <c r="I54" s="157">
        <f>H54/G54</f>
        <v>0.41666666666666669</v>
      </c>
      <c r="J54" s="158"/>
      <c r="K54" s="7" t="s">
        <v>140</v>
      </c>
      <c r="L54" s="28">
        <v>32</v>
      </c>
      <c r="M54" s="10">
        <f>'Ingredient Cost'!$B$113</f>
        <v>20</v>
      </c>
      <c r="N54" s="10">
        <f>M54/L54</f>
        <v>0.625</v>
      </c>
    </row>
    <row r="55" spans="1:17" ht="15.5" x14ac:dyDescent="0.35">
      <c r="A55" s="6" t="s">
        <v>0</v>
      </c>
      <c r="B55" s="13"/>
      <c r="C55" s="15"/>
      <c r="D55" s="74">
        <f>SUM(D53:D54)</f>
        <v>1.1964941912208507</v>
      </c>
      <c r="E55" s="13"/>
      <c r="F55" s="7" t="s">
        <v>0</v>
      </c>
      <c r="G55" s="13"/>
      <c r="H55" s="15"/>
      <c r="I55" s="74">
        <f>SUM(I53:I54)</f>
        <v>2.3663743801816159</v>
      </c>
      <c r="J55" s="13"/>
      <c r="K55" s="7" t="s">
        <v>0</v>
      </c>
      <c r="L55" s="13"/>
      <c r="M55" s="15"/>
      <c r="N55" s="74">
        <f>SUM(N53:N54)</f>
        <v>4.0056612290776803</v>
      </c>
    </row>
    <row r="56" spans="1:17" ht="15.5" x14ac:dyDescent="0.35">
      <c r="A56" s="7"/>
      <c r="B56" s="13"/>
      <c r="C56" s="15"/>
      <c r="D56" s="74"/>
      <c r="E56" s="13"/>
      <c r="F56" s="7"/>
      <c r="G56" s="13"/>
      <c r="H56" s="15"/>
      <c r="I56" s="74"/>
      <c r="J56" s="13"/>
      <c r="K56" s="7"/>
      <c r="L56" s="13"/>
      <c r="M56" s="15"/>
      <c r="N56" s="74"/>
    </row>
    <row r="57" spans="1:17" ht="15.5" x14ac:dyDescent="0.35">
      <c r="A57" s="7"/>
      <c r="B57" s="74" t="s">
        <v>467</v>
      </c>
      <c r="C57" s="163"/>
      <c r="D57" s="191">
        <f>D$54/D$53</f>
        <v>0.3861775360726234</v>
      </c>
      <c r="E57" s="13"/>
      <c r="F57" s="7"/>
      <c r="G57" s="74" t="s">
        <v>467</v>
      </c>
      <c r="H57" s="74"/>
      <c r="I57" s="191">
        <f>I$54/I$53</f>
        <v>0.21370724636232605</v>
      </c>
      <c r="J57" s="13"/>
      <c r="K57" s="7"/>
      <c r="L57" s="74" t="s">
        <v>467</v>
      </c>
      <c r="M57" s="163"/>
      <c r="N57" s="191">
        <f>N$54/N$53</f>
        <v>0.18487507551015808</v>
      </c>
    </row>
    <row r="58" spans="1:17" ht="15.5" x14ac:dyDescent="0.35">
      <c r="A58" s="164" t="s">
        <v>448</v>
      </c>
      <c r="B58" s="165"/>
      <c r="C58" s="165"/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</row>
    <row r="60" spans="1:17" ht="15.5" x14ac:dyDescent="0.35">
      <c r="A60" s="190" t="s">
        <v>466</v>
      </c>
      <c r="B60" s="159"/>
      <c r="C60" s="161"/>
      <c r="D60" s="162"/>
      <c r="F60" s="190" t="s">
        <v>465</v>
      </c>
      <c r="G60" s="159"/>
      <c r="H60" s="161"/>
      <c r="I60" s="162"/>
      <c r="K60" s="7"/>
      <c r="L60" s="47"/>
      <c r="M60" s="48"/>
      <c r="N60" s="49"/>
    </row>
    <row r="61" spans="1:17" ht="15.5" x14ac:dyDescent="0.35">
      <c r="A61" s="7"/>
      <c r="B61" s="7" t="s">
        <v>1</v>
      </c>
      <c r="C61" s="8" t="s">
        <v>2</v>
      </c>
      <c r="D61" s="8" t="s">
        <v>4</v>
      </c>
      <c r="E61" s="13"/>
      <c r="F61" s="7"/>
      <c r="G61" s="7" t="s">
        <v>1</v>
      </c>
      <c r="H61" s="8" t="s">
        <v>2</v>
      </c>
      <c r="I61" s="8" t="s">
        <v>4</v>
      </c>
      <c r="J61" s="13"/>
      <c r="K61" s="7"/>
      <c r="L61" s="7"/>
      <c r="M61" s="8"/>
      <c r="N61" s="8"/>
    </row>
    <row r="62" spans="1:17" ht="15.5" x14ac:dyDescent="0.35">
      <c r="A62" s="7" t="s">
        <v>454</v>
      </c>
      <c r="B62" s="28">
        <v>9</v>
      </c>
      <c r="C62" s="10">
        <f>D55</f>
        <v>1.1964941912208507</v>
      </c>
      <c r="D62" s="11">
        <f>B62*C62</f>
        <v>10.768447720987655</v>
      </c>
      <c r="E62" s="13"/>
      <c r="F62" s="7" t="s">
        <v>454</v>
      </c>
      <c r="G62" s="28">
        <v>4</v>
      </c>
      <c r="H62" s="10">
        <f>I55</f>
        <v>2.3663743801816159</v>
      </c>
      <c r="I62" s="11">
        <f>G62*H62</f>
        <v>9.4654975207264638</v>
      </c>
      <c r="J62" s="13"/>
      <c r="K62" s="7"/>
      <c r="L62" s="13"/>
      <c r="M62" s="15"/>
      <c r="N62" s="74"/>
    </row>
    <row r="63" spans="1:17" ht="15.5" x14ac:dyDescent="0.35">
      <c r="A63" s="7" t="s">
        <v>464</v>
      </c>
      <c r="B63" s="28">
        <v>1</v>
      </c>
      <c r="C63" s="10">
        <f>'Ingredient Cost'!D108</f>
        <v>0.2</v>
      </c>
      <c r="D63" s="10">
        <f>B63*C63</f>
        <v>0.2</v>
      </c>
      <c r="E63" s="13"/>
      <c r="F63" s="7" t="s">
        <v>464</v>
      </c>
      <c r="G63" s="28">
        <v>1</v>
      </c>
      <c r="H63" s="10">
        <f>C63</f>
        <v>0.2</v>
      </c>
      <c r="I63" s="10">
        <f>G63*H63</f>
        <v>0.2</v>
      </c>
      <c r="J63" s="13"/>
      <c r="K63" s="7"/>
      <c r="L63" s="13"/>
      <c r="M63" s="15"/>
      <c r="N63" s="15"/>
    </row>
    <row r="64" spans="1:17" ht="15.5" x14ac:dyDescent="0.35">
      <c r="A64" s="7" t="s">
        <v>180</v>
      </c>
      <c r="B64" s="28">
        <v>40</v>
      </c>
      <c r="C64" s="10">
        <f>C54</f>
        <v>20</v>
      </c>
      <c r="D64" s="10">
        <f>C64/B64</f>
        <v>0.5</v>
      </c>
      <c r="E64" s="13"/>
      <c r="F64" s="7" t="s">
        <v>180</v>
      </c>
      <c r="G64" s="28">
        <v>40</v>
      </c>
      <c r="H64" s="10">
        <f>C54</f>
        <v>20</v>
      </c>
      <c r="I64" s="10">
        <f>H64/G64</f>
        <v>0.5</v>
      </c>
      <c r="J64" s="13"/>
      <c r="K64" s="7"/>
      <c r="L64" s="13"/>
      <c r="M64" s="15"/>
      <c r="N64" s="15"/>
    </row>
    <row r="65" spans="1:14" ht="15.5" x14ac:dyDescent="0.35">
      <c r="A65" s="7" t="s">
        <v>184</v>
      </c>
      <c r="B65" s="28">
        <v>1</v>
      </c>
      <c r="C65" s="10">
        <v>0.01</v>
      </c>
      <c r="D65" s="10">
        <f>B65*C65</f>
        <v>0.01</v>
      </c>
      <c r="E65" s="13"/>
      <c r="F65" s="7" t="s">
        <v>184</v>
      </c>
      <c r="G65" s="28">
        <v>1</v>
      </c>
      <c r="H65" s="10">
        <v>0.01</v>
      </c>
      <c r="I65" s="10">
        <f>G65*H65</f>
        <v>0.01</v>
      </c>
      <c r="J65" s="13"/>
      <c r="K65" s="7"/>
      <c r="L65" s="13"/>
      <c r="M65" s="15"/>
      <c r="N65" s="15"/>
    </row>
    <row r="66" spans="1:14" ht="15.5" x14ac:dyDescent="0.35">
      <c r="A66" s="7" t="s">
        <v>0</v>
      </c>
      <c r="B66" s="13"/>
      <c r="C66" s="15"/>
      <c r="D66" s="74">
        <f>SUM(D62:D65)</f>
        <v>11.478447720987655</v>
      </c>
      <c r="E66" s="13"/>
      <c r="F66" s="7" t="s">
        <v>0</v>
      </c>
      <c r="G66" s="13"/>
      <c r="H66" s="15"/>
      <c r="I66" s="74">
        <f>SUM(I62:I65)</f>
        <v>10.175497520726463</v>
      </c>
      <c r="J66" s="13"/>
      <c r="K66" s="7"/>
      <c r="L66" s="13"/>
      <c r="M66" s="15"/>
      <c r="N66" s="82"/>
    </row>
    <row r="67" spans="1:14" ht="15.5" x14ac:dyDescent="0.35">
      <c r="A67" s="7" t="s">
        <v>182</v>
      </c>
      <c r="D67" s="74">
        <f>D66/9</f>
        <v>1.2753830801097394</v>
      </c>
      <c r="F67" s="7" t="s">
        <v>182</v>
      </c>
      <c r="I67" s="74">
        <f>I66/4</f>
        <v>2.5438743801816157</v>
      </c>
    </row>
    <row r="68" spans="1:14" ht="15.5" x14ac:dyDescent="0.35">
      <c r="A68" s="7"/>
      <c r="D68" s="74"/>
      <c r="F68" s="7"/>
      <c r="I68" s="74"/>
    </row>
    <row r="69" spans="1:14" ht="15.5" x14ac:dyDescent="0.35">
      <c r="A69" s="190" t="s">
        <v>475</v>
      </c>
      <c r="B69" s="159"/>
      <c r="C69" s="161"/>
      <c r="D69" s="162"/>
      <c r="F69" s="7"/>
      <c r="I69" s="74"/>
    </row>
    <row r="70" spans="1:14" ht="15.5" x14ac:dyDescent="0.35">
      <c r="A70" s="7"/>
      <c r="B70" s="7" t="s">
        <v>1</v>
      </c>
      <c r="C70" s="8" t="s">
        <v>2</v>
      </c>
      <c r="D70" s="8" t="s">
        <v>4</v>
      </c>
    </row>
    <row r="71" spans="1:14" ht="15.5" x14ac:dyDescent="0.35">
      <c r="A71" s="7" t="s">
        <v>454</v>
      </c>
      <c r="B71" s="28">
        <v>6</v>
      </c>
      <c r="C71" s="10">
        <f>D55</f>
        <v>1.1964941912208507</v>
      </c>
      <c r="D71" s="11">
        <f>B71*C71</f>
        <v>7.1789651473251039</v>
      </c>
    </row>
    <row r="72" spans="1:14" ht="15.5" x14ac:dyDescent="0.35">
      <c r="A72" s="7" t="s">
        <v>464</v>
      </c>
      <c r="B72" s="28">
        <v>1</v>
      </c>
      <c r="C72" s="10">
        <f>C63</f>
        <v>0.2</v>
      </c>
      <c r="D72" s="10">
        <f>B72*C72</f>
        <v>0.2</v>
      </c>
    </row>
    <row r="73" spans="1:14" ht="15.5" x14ac:dyDescent="0.35">
      <c r="A73" s="7" t="s">
        <v>180</v>
      </c>
      <c r="B73" s="28">
        <v>40</v>
      </c>
      <c r="C73" s="10">
        <v>20</v>
      </c>
      <c r="D73" s="10">
        <f>C73/B73</f>
        <v>0.5</v>
      </c>
    </row>
    <row r="74" spans="1:14" ht="15.5" x14ac:dyDescent="0.35">
      <c r="A74" s="7" t="s">
        <v>184</v>
      </c>
      <c r="B74" s="28">
        <v>1</v>
      </c>
      <c r="C74" s="10">
        <v>0.01</v>
      </c>
      <c r="D74" s="10">
        <f>B74*C74</f>
        <v>0.01</v>
      </c>
    </row>
    <row r="75" spans="1:14" ht="15.5" x14ac:dyDescent="0.35">
      <c r="A75" s="7" t="s">
        <v>0</v>
      </c>
      <c r="B75" s="13"/>
      <c r="C75" s="15"/>
      <c r="D75" s="74">
        <f>SUM(D71:D74)</f>
        <v>7.8889651473251039</v>
      </c>
    </row>
    <row r="76" spans="1:14" ht="15.5" x14ac:dyDescent="0.35">
      <c r="A76" s="7" t="s">
        <v>182</v>
      </c>
      <c r="D76" s="74">
        <f>D75/6</f>
        <v>1.3148275245541841</v>
      </c>
    </row>
    <row r="78" spans="1:14" ht="15.5" x14ac:dyDescent="0.35">
      <c r="A78" s="190" t="s">
        <v>485</v>
      </c>
      <c r="B78" s="159"/>
      <c r="C78" s="161"/>
      <c r="D78" s="162"/>
    </row>
    <row r="79" spans="1:14" ht="15.5" x14ac:dyDescent="0.35">
      <c r="A79" s="7"/>
      <c r="B79" s="7" t="s">
        <v>1</v>
      </c>
      <c r="C79" s="8" t="s">
        <v>2</v>
      </c>
      <c r="D79" s="8" t="s">
        <v>4</v>
      </c>
    </row>
    <row r="80" spans="1:14" ht="15.5" x14ac:dyDescent="0.35">
      <c r="A80" s="7" t="s">
        <v>454</v>
      </c>
      <c r="B80" s="28">
        <v>12</v>
      </c>
      <c r="C80" s="10">
        <f>D55</f>
        <v>1.1964941912208507</v>
      </c>
      <c r="D80" s="11">
        <f>B80*C80</f>
        <v>14.357930294650208</v>
      </c>
    </row>
    <row r="81" spans="1:4" ht="15.5" x14ac:dyDescent="0.35">
      <c r="A81" s="7" t="s">
        <v>464</v>
      </c>
      <c r="B81" s="28">
        <v>1</v>
      </c>
      <c r="C81" s="10">
        <f>C63</f>
        <v>0.2</v>
      </c>
      <c r="D81" s="10">
        <f>B81*C81</f>
        <v>0.2</v>
      </c>
    </row>
    <row r="82" spans="1:4" ht="15.5" x14ac:dyDescent="0.35">
      <c r="A82" s="7" t="s">
        <v>180</v>
      </c>
      <c r="B82" s="28">
        <v>40</v>
      </c>
      <c r="C82" s="10">
        <v>20</v>
      </c>
      <c r="D82" s="10">
        <f>C82/B82</f>
        <v>0.5</v>
      </c>
    </row>
    <row r="83" spans="1:4" ht="15.5" x14ac:dyDescent="0.35">
      <c r="A83" s="7" t="s">
        <v>184</v>
      </c>
      <c r="B83" s="28">
        <v>1</v>
      </c>
      <c r="C83" s="10">
        <v>0.01</v>
      </c>
      <c r="D83" s="10">
        <f>B83*C83</f>
        <v>0.01</v>
      </c>
    </row>
    <row r="84" spans="1:4" ht="15.5" x14ac:dyDescent="0.35">
      <c r="A84" s="7" t="s">
        <v>0</v>
      </c>
      <c r="B84" s="13"/>
      <c r="C84" s="15"/>
      <c r="D84" s="74">
        <f>SUM(D80:D83)</f>
        <v>15.067930294650207</v>
      </c>
    </row>
    <row r="85" spans="1:4" ht="15.5" x14ac:dyDescent="0.35">
      <c r="A85" s="7" t="s">
        <v>182</v>
      </c>
      <c r="D85" s="74">
        <f>D84/12</f>
        <v>1.2556608578875172</v>
      </c>
    </row>
  </sheetData>
  <mergeCells count="1">
    <mergeCell ref="B4:H14"/>
  </mergeCells>
  <pageMargins left="0.7" right="0.7" top="0.75" bottom="0.75" header="0.3" footer="0.3"/>
  <pageSetup paperSize="9" orientation="portrait" horizontalDpi="4294967293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52"/>
  <sheetViews>
    <sheetView workbookViewId="0">
      <selection activeCell="I52" sqref="I52"/>
    </sheetView>
  </sheetViews>
  <sheetFormatPr defaultRowHeight="12.5" x14ac:dyDescent="0.25"/>
  <cols>
    <col min="1" max="1" width="22.81640625" customWidth="1"/>
    <col min="5" max="5" width="11.453125" customWidth="1"/>
    <col min="6" max="6" width="17.81640625" customWidth="1"/>
    <col min="11" max="11" width="19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194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318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20</v>
      </c>
      <c r="B18" s="28">
        <v>1.25</v>
      </c>
      <c r="C18" s="10">
        <f>'Ingredient Cost'!D62</f>
        <v>7.55</v>
      </c>
      <c r="D18" s="11">
        <f>B18*C18</f>
        <v>9.4375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319</v>
      </c>
      <c r="B19" s="28">
        <v>0.75</v>
      </c>
      <c r="C19" s="10">
        <f>'Ingredient Cost'!D68</f>
        <v>3.32</v>
      </c>
      <c r="D19" s="11">
        <f>B19*C19</f>
        <v>2.4899999999999998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62</v>
      </c>
      <c r="B20" s="28">
        <v>0.25</v>
      </c>
      <c r="C20" s="10">
        <f>'Ingredient Cost'!D18</f>
        <v>4.75</v>
      </c>
      <c r="D20" s="11">
        <f t="shared" ref="D20:D23" si="0">B20*C20</f>
        <v>1.1875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320</v>
      </c>
      <c r="B21" s="28">
        <v>1.25</v>
      </c>
      <c r="C21" s="10">
        <v>0</v>
      </c>
      <c r="D21" s="11">
        <f t="shared" si="0"/>
        <v>0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168</v>
      </c>
      <c r="B22" s="28">
        <v>1</v>
      </c>
      <c r="C22" s="10">
        <f>'Ingredient Cost'!D12</f>
        <v>0.74</v>
      </c>
      <c r="D22" s="11">
        <f t="shared" si="0"/>
        <v>0.74</v>
      </c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111</v>
      </c>
      <c r="B23" s="28">
        <v>0.375</v>
      </c>
      <c r="C23" s="10">
        <f>'Ingredient Cost'!D20</f>
        <v>8.9499999999999993</v>
      </c>
      <c r="D23" s="11">
        <f t="shared" si="0"/>
        <v>3.3562499999999997</v>
      </c>
      <c r="E23" s="13"/>
      <c r="F23" s="7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/>
      <c r="B25" s="12">
        <f>SUM(B18:B23)</f>
        <v>4.875</v>
      </c>
      <c r="C25" s="10"/>
      <c r="D25" s="10">
        <f>SUM(D18:D23)</f>
        <v>17.21125</v>
      </c>
      <c r="E25" s="13"/>
      <c r="F25" s="6"/>
      <c r="G25" s="13"/>
      <c r="H25" s="15"/>
      <c r="I25" s="15"/>
      <c r="J25" s="13"/>
      <c r="K25" s="22"/>
      <c r="L25" s="22"/>
      <c r="M25" s="13"/>
      <c r="N25" s="13"/>
      <c r="O25" s="13"/>
      <c r="P25" s="13"/>
      <c r="Q25" s="13"/>
    </row>
    <row r="26" spans="1:17" ht="13" x14ac:dyDescent="0.3">
      <c r="A26" s="13"/>
      <c r="B26" s="13"/>
      <c r="C26" s="15"/>
      <c r="D26" s="14"/>
      <c r="E26" s="13"/>
      <c r="F26" s="13"/>
      <c r="G26" s="13"/>
      <c r="H26" s="15"/>
      <c r="I26" s="15"/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6" t="s">
        <v>0</v>
      </c>
      <c r="B27" s="13"/>
      <c r="C27" s="15"/>
      <c r="D27" s="19">
        <f>D25/B25</f>
        <v>3.5305128205128207</v>
      </c>
      <c r="E27" s="13"/>
      <c r="F27" s="6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7"/>
      <c r="B28" s="13"/>
      <c r="C28" s="15"/>
      <c r="D28" s="20"/>
      <c r="E28" s="13"/>
      <c r="F28" s="21"/>
      <c r="G28" s="22"/>
      <c r="H28" s="22"/>
      <c r="I28" s="22"/>
      <c r="J28" s="22"/>
      <c r="K28" s="22"/>
      <c r="L28" s="22"/>
      <c r="M28" s="13"/>
      <c r="N28" s="13"/>
      <c r="O28" s="13"/>
      <c r="P28" s="13"/>
      <c r="Q28" s="13"/>
    </row>
    <row r="29" spans="1:17" ht="36.75" customHeight="1" x14ac:dyDescent="0.35">
      <c r="A29" s="7" t="s">
        <v>3</v>
      </c>
      <c r="B29" s="261" t="s">
        <v>321</v>
      </c>
      <c r="C29" s="261"/>
      <c r="D29" s="261"/>
      <c r="F29" s="7" t="s">
        <v>3</v>
      </c>
      <c r="G29" s="261" t="s">
        <v>322</v>
      </c>
      <c r="H29" s="261"/>
      <c r="I29" s="261"/>
      <c r="K29" s="7" t="s">
        <v>3</v>
      </c>
      <c r="L29" s="261" t="s">
        <v>323</v>
      </c>
      <c r="M29" s="261"/>
      <c r="N29" s="261"/>
    </row>
    <row r="30" spans="1:17" ht="15.5" x14ac:dyDescent="0.35">
      <c r="A30" s="6"/>
      <c r="B30" s="7" t="s">
        <v>1</v>
      </c>
      <c r="C30" s="8" t="s">
        <v>2</v>
      </c>
      <c r="D30" s="9" t="s">
        <v>4</v>
      </c>
      <c r="E30" s="13"/>
      <c r="F30" s="6"/>
      <c r="G30" s="7" t="s">
        <v>1</v>
      </c>
      <c r="H30" s="8" t="s">
        <v>2</v>
      </c>
      <c r="I30" s="9" t="s">
        <v>4</v>
      </c>
      <c r="J30" s="13"/>
      <c r="K30" s="6"/>
      <c r="L30" s="7" t="s">
        <v>1</v>
      </c>
      <c r="M30" s="8" t="s">
        <v>2</v>
      </c>
      <c r="N30" s="9" t="s">
        <v>4</v>
      </c>
    </row>
    <row r="31" spans="1:17" ht="15.5" x14ac:dyDescent="0.35">
      <c r="A31" s="6" t="s">
        <v>199</v>
      </c>
      <c r="B31" s="28">
        <v>0.129</v>
      </c>
      <c r="C31" s="10">
        <f>D27</f>
        <v>3.5305128205128207</v>
      </c>
      <c r="D31" s="11">
        <f>B31*C31</f>
        <v>0.45543615384615388</v>
      </c>
      <c r="E31" s="13"/>
      <c r="F31" s="6" t="s">
        <v>199</v>
      </c>
      <c r="G31" s="28">
        <v>0.25700000000000001</v>
      </c>
      <c r="H31" s="10">
        <f>C31</f>
        <v>3.5305128205128207</v>
      </c>
      <c r="I31" s="11">
        <f>G31*H31</f>
        <v>0.90734179487179489</v>
      </c>
      <c r="J31" s="13"/>
      <c r="K31" s="6" t="s">
        <v>199</v>
      </c>
      <c r="L31" s="28">
        <v>0.74</v>
      </c>
      <c r="M31" s="10">
        <f>C31</f>
        <v>3.5305128205128207</v>
      </c>
      <c r="N31" s="11">
        <f>L31*M31</f>
        <v>2.6125794871794872</v>
      </c>
    </row>
    <row r="32" spans="1:17" ht="15.5" x14ac:dyDescent="0.35">
      <c r="A32" s="6" t="s">
        <v>151</v>
      </c>
      <c r="B32" s="28"/>
      <c r="C32" s="10">
        <f>'Pastry Costing'!F30</f>
        <v>0.2107946902228468</v>
      </c>
      <c r="D32" s="11">
        <f>C32</f>
        <v>0.2107946902228468</v>
      </c>
      <c r="E32" s="13"/>
      <c r="F32" s="6" t="s">
        <v>151</v>
      </c>
      <c r="G32" s="28"/>
      <c r="H32" s="10">
        <f>'Pastry Costing'!F31</f>
        <v>0.34141430034129694</v>
      </c>
      <c r="I32" s="11">
        <f>H32</f>
        <v>0.34141430034129694</v>
      </c>
      <c r="J32" s="13"/>
      <c r="K32" s="6" t="s">
        <v>151</v>
      </c>
      <c r="L32" s="28"/>
      <c r="M32" s="10">
        <f>'Pastry Costing'!F32</f>
        <v>0.52407440273037542</v>
      </c>
      <c r="N32" s="11">
        <f>M32</f>
        <v>0.52407440273037542</v>
      </c>
    </row>
    <row r="33" spans="1:14" ht="15.5" x14ac:dyDescent="0.35">
      <c r="A33" s="7" t="s">
        <v>106</v>
      </c>
      <c r="B33" s="28">
        <v>1</v>
      </c>
      <c r="C33" s="10">
        <f>'Ingredient Cost'!D95</f>
        <v>0.09</v>
      </c>
      <c r="D33" s="10">
        <f>B33*C33</f>
        <v>0.09</v>
      </c>
      <c r="E33" s="13"/>
      <c r="F33" s="7" t="s">
        <v>106</v>
      </c>
      <c r="G33" s="28">
        <v>1</v>
      </c>
      <c r="H33" s="10">
        <f>'Ingredient Cost'!D96</f>
        <v>0.12</v>
      </c>
      <c r="I33" s="10">
        <f>G33*H33</f>
        <v>0.12</v>
      </c>
      <c r="J33" s="13"/>
      <c r="K33" s="7" t="s">
        <v>106</v>
      </c>
      <c r="L33" s="28">
        <v>1</v>
      </c>
      <c r="M33" s="10">
        <f>'Ingredient Cost'!D97</f>
        <v>0.2</v>
      </c>
      <c r="N33" s="10">
        <f>L33*M33</f>
        <v>0.2</v>
      </c>
    </row>
    <row r="34" spans="1:14" ht="15.5" x14ac:dyDescent="0.35">
      <c r="A34" s="7" t="s">
        <v>180</v>
      </c>
      <c r="B34" s="28">
        <v>90</v>
      </c>
      <c r="C34" s="10">
        <f>'Steak Pie v2'!C53</f>
        <v>20</v>
      </c>
      <c r="D34" s="10">
        <f>C34/B34</f>
        <v>0.22222222222222221</v>
      </c>
      <c r="E34" s="13"/>
      <c r="F34" s="7" t="s">
        <v>140</v>
      </c>
      <c r="G34" s="28">
        <v>48</v>
      </c>
      <c r="H34" s="10">
        <f>C34</f>
        <v>20</v>
      </c>
      <c r="I34" s="10">
        <f>H34/G34</f>
        <v>0.41666666666666669</v>
      </c>
      <c r="J34" s="13"/>
      <c r="K34" s="7" t="s">
        <v>140</v>
      </c>
      <c r="L34" s="28">
        <v>32</v>
      </c>
      <c r="M34" s="10">
        <f>C34</f>
        <v>20</v>
      </c>
      <c r="N34" s="10">
        <f>M34/L34</f>
        <v>0.625</v>
      </c>
    </row>
    <row r="35" spans="1:14" ht="15.5" x14ac:dyDescent="0.35">
      <c r="A35" s="7"/>
      <c r="B35" s="12"/>
      <c r="C35" s="10"/>
      <c r="D35" s="10"/>
      <c r="E35" s="13"/>
      <c r="F35" s="7"/>
      <c r="G35" s="12"/>
      <c r="H35" s="10"/>
      <c r="I35" s="10"/>
      <c r="J35" s="13"/>
      <c r="K35" s="7"/>
      <c r="L35" s="12"/>
      <c r="M35" s="10"/>
      <c r="N35" s="10"/>
    </row>
    <row r="36" spans="1:14" ht="13" x14ac:dyDescent="0.3">
      <c r="A36" s="13"/>
      <c r="B36" s="13"/>
      <c r="C36" s="15"/>
      <c r="D36" s="14"/>
      <c r="E36" s="13"/>
      <c r="F36" s="13"/>
      <c r="G36" s="13"/>
      <c r="H36" s="15"/>
      <c r="I36" s="14"/>
      <c r="J36" s="13"/>
      <c r="K36" s="13"/>
      <c r="L36" s="13"/>
      <c r="M36" s="15"/>
      <c r="N36" s="14"/>
    </row>
    <row r="37" spans="1:14" ht="15.5" x14ac:dyDescent="0.35">
      <c r="A37" s="6" t="s">
        <v>0</v>
      </c>
      <c r="B37" s="13"/>
      <c r="C37" s="15"/>
      <c r="D37" s="19">
        <f>D31+D32+D33+D34</f>
        <v>0.97845306629122286</v>
      </c>
      <c r="E37" s="13"/>
      <c r="F37" s="6" t="s">
        <v>0</v>
      </c>
      <c r="G37" s="13"/>
      <c r="H37" s="15"/>
      <c r="I37" s="19">
        <f>I31+I32+I33+I34</f>
        <v>1.7854227618797587</v>
      </c>
      <c r="J37" s="13"/>
      <c r="K37" s="6" t="s">
        <v>0</v>
      </c>
      <c r="L37" s="13"/>
      <c r="M37" s="15"/>
      <c r="N37" s="19">
        <f>N31+N32+N33+N34</f>
        <v>3.9616538899098628</v>
      </c>
    </row>
    <row r="40" spans="1:14" ht="36.75" customHeight="1" x14ac:dyDescent="0.35">
      <c r="A40" s="7" t="s">
        <v>3</v>
      </c>
      <c r="B40" s="261" t="s">
        <v>321</v>
      </c>
      <c r="C40" s="261"/>
      <c r="D40" s="261"/>
      <c r="F40" s="7" t="s">
        <v>3</v>
      </c>
      <c r="G40" s="261" t="s">
        <v>322</v>
      </c>
      <c r="H40" s="261"/>
      <c r="I40" s="261"/>
      <c r="K40" s="7"/>
      <c r="L40" s="47"/>
      <c r="M40" s="48"/>
      <c r="N40" s="49"/>
    </row>
    <row r="41" spans="1:14" ht="15.5" x14ac:dyDescent="0.35">
      <c r="A41" s="6"/>
      <c r="B41" s="7" t="s">
        <v>1</v>
      </c>
      <c r="C41" s="8" t="s">
        <v>2</v>
      </c>
      <c r="D41" s="9" t="s">
        <v>4</v>
      </c>
      <c r="E41" s="13"/>
      <c r="F41" s="6"/>
      <c r="G41" s="7" t="s">
        <v>1</v>
      </c>
      <c r="H41" s="8" t="s">
        <v>2</v>
      </c>
      <c r="I41" s="9" t="s">
        <v>4</v>
      </c>
      <c r="J41" s="13"/>
      <c r="K41" s="7"/>
      <c r="L41" s="7"/>
      <c r="M41" s="8"/>
      <c r="N41" s="8"/>
    </row>
    <row r="42" spans="1:14" ht="15.5" x14ac:dyDescent="0.35">
      <c r="A42" s="6" t="s">
        <v>138</v>
      </c>
      <c r="B42" s="28">
        <v>9</v>
      </c>
      <c r="C42" s="10">
        <f>D37</f>
        <v>0.97845306629122286</v>
      </c>
      <c r="D42" s="11">
        <f>B42*C42</f>
        <v>8.8060775966210052</v>
      </c>
      <c r="E42" s="13"/>
      <c r="F42" s="6" t="s">
        <v>138</v>
      </c>
      <c r="G42" s="28">
        <v>6</v>
      </c>
      <c r="H42" s="10">
        <f>I37</f>
        <v>1.7854227618797587</v>
      </c>
      <c r="I42" s="11">
        <f>G42*H42</f>
        <v>10.712536571278552</v>
      </c>
      <c r="J42" s="13"/>
      <c r="K42" s="7"/>
      <c r="L42" s="13"/>
      <c r="M42" s="15"/>
      <c r="N42" s="74"/>
    </row>
    <row r="43" spans="1:14" ht="15.5" x14ac:dyDescent="0.35">
      <c r="A43" s="6" t="s">
        <v>94</v>
      </c>
      <c r="B43" s="28">
        <v>1</v>
      </c>
      <c r="C43" s="10">
        <f>'Ingredient Cost'!D86</f>
        <v>0.12</v>
      </c>
      <c r="D43" s="11">
        <f>B43*C43</f>
        <v>0.12</v>
      </c>
      <c r="E43" s="13"/>
      <c r="F43" s="6" t="s">
        <v>94</v>
      </c>
      <c r="G43" s="28">
        <v>1</v>
      </c>
      <c r="H43" s="10">
        <f>C43</f>
        <v>0.12</v>
      </c>
      <c r="I43" s="11">
        <f>G43*H43</f>
        <v>0.12</v>
      </c>
      <c r="J43" s="13"/>
      <c r="K43" s="7"/>
      <c r="L43" s="13"/>
      <c r="M43" s="15"/>
      <c r="N43" s="74"/>
    </row>
    <row r="44" spans="1:14" ht="15.5" x14ac:dyDescent="0.35">
      <c r="A44" s="6" t="s">
        <v>139</v>
      </c>
      <c r="B44" s="28">
        <v>9</v>
      </c>
      <c r="C44" s="10">
        <f>'Ingredient Cost'!D90</f>
        <v>0.22</v>
      </c>
      <c r="D44" s="10">
        <f>B44*C44</f>
        <v>1.98</v>
      </c>
      <c r="E44" s="13"/>
      <c r="F44" s="6" t="s">
        <v>139</v>
      </c>
      <c r="G44" s="28">
        <v>6</v>
      </c>
      <c r="H44" s="10">
        <v>0.1</v>
      </c>
      <c r="I44" s="10">
        <f>G44*H44</f>
        <v>0.60000000000000009</v>
      </c>
      <c r="J44" s="13"/>
      <c r="K44" s="7"/>
      <c r="L44" s="13"/>
      <c r="M44" s="15"/>
      <c r="N44" s="15"/>
    </row>
    <row r="45" spans="1:14" ht="15.5" x14ac:dyDescent="0.35">
      <c r="A45" s="7" t="s">
        <v>66</v>
      </c>
      <c r="B45" s="28">
        <v>1</v>
      </c>
      <c r="C45" s="10">
        <f>'Ingredient Cost'!D108</f>
        <v>0.2</v>
      </c>
      <c r="D45" s="10">
        <f>B45*C45</f>
        <v>0.2</v>
      </c>
      <c r="E45" s="13"/>
      <c r="F45" s="7" t="s">
        <v>66</v>
      </c>
      <c r="G45" s="28">
        <v>1</v>
      </c>
      <c r="H45" s="10">
        <f>C45</f>
        <v>0.2</v>
      </c>
      <c r="I45" s="10">
        <f>G45*H45</f>
        <v>0.2</v>
      </c>
      <c r="J45" s="13"/>
      <c r="K45" s="7"/>
      <c r="L45" s="13"/>
      <c r="M45" s="15"/>
      <c r="N45" s="15"/>
    </row>
    <row r="46" spans="1:14" ht="15.5" x14ac:dyDescent="0.35">
      <c r="A46" s="7" t="s">
        <v>180</v>
      </c>
      <c r="B46" s="28">
        <v>75</v>
      </c>
      <c r="C46" s="10">
        <f>C34</f>
        <v>20</v>
      </c>
      <c r="D46" s="10">
        <f>C46/B46</f>
        <v>0.26666666666666666</v>
      </c>
      <c r="E46" s="13"/>
      <c r="F46" s="7" t="s">
        <v>180</v>
      </c>
      <c r="G46" s="28">
        <v>75</v>
      </c>
      <c r="H46" s="10">
        <f>C34</f>
        <v>20</v>
      </c>
      <c r="I46" s="10">
        <f>H46/G46</f>
        <v>0.26666666666666666</v>
      </c>
      <c r="J46" s="13"/>
      <c r="K46" s="7"/>
      <c r="L46" s="13"/>
      <c r="M46" s="15"/>
      <c r="N46" s="15"/>
    </row>
    <row r="47" spans="1:14" ht="15.5" x14ac:dyDescent="0.35">
      <c r="A47" s="7"/>
      <c r="B47" s="28"/>
      <c r="C47" s="10"/>
      <c r="D47" s="10"/>
      <c r="E47" s="13"/>
      <c r="F47" s="7" t="s">
        <v>67</v>
      </c>
      <c r="G47" s="28">
        <v>6</v>
      </c>
      <c r="H47" s="10">
        <f>'Steak Pie v2'!H64</f>
        <v>0.01</v>
      </c>
      <c r="I47" s="10">
        <f>G47*H47</f>
        <v>0.06</v>
      </c>
      <c r="J47" s="13"/>
      <c r="K47" s="7"/>
      <c r="L47" s="13"/>
      <c r="M47" s="15"/>
      <c r="N47" s="15"/>
    </row>
    <row r="48" spans="1:14" ht="15.5" x14ac:dyDescent="0.35">
      <c r="A48" s="7"/>
      <c r="B48" s="28"/>
      <c r="C48" s="10"/>
      <c r="D48" s="10"/>
      <c r="E48" s="13"/>
      <c r="F48" s="7" t="s">
        <v>184</v>
      </c>
      <c r="G48" s="28">
        <v>6</v>
      </c>
      <c r="H48" s="10">
        <v>0.01</v>
      </c>
      <c r="I48" s="10">
        <f>G48*H48</f>
        <v>0.06</v>
      </c>
      <c r="J48" s="13"/>
      <c r="K48" s="7"/>
      <c r="L48" s="13"/>
      <c r="M48" s="15"/>
      <c r="N48" s="15"/>
    </row>
    <row r="49" spans="1:14" ht="15.5" x14ac:dyDescent="0.35">
      <c r="A49" s="7"/>
      <c r="B49" s="12"/>
      <c r="C49" s="10"/>
      <c r="D49" s="10"/>
      <c r="E49" s="13"/>
      <c r="F49" s="7"/>
      <c r="G49" s="12"/>
      <c r="H49" s="10"/>
      <c r="I49" s="10"/>
      <c r="J49" s="13"/>
      <c r="K49" s="7"/>
      <c r="L49" s="13"/>
      <c r="M49" s="15"/>
      <c r="N49" s="15"/>
    </row>
    <row r="50" spans="1:14" ht="13" x14ac:dyDescent="0.3">
      <c r="A50" s="13"/>
      <c r="B50" s="13"/>
      <c r="C50" s="15"/>
      <c r="D50" s="14"/>
      <c r="E50" s="13"/>
      <c r="F50" s="13"/>
      <c r="G50" s="13"/>
      <c r="H50" s="15"/>
      <c r="I50" s="14"/>
      <c r="J50" s="13"/>
      <c r="K50" s="13"/>
      <c r="L50" s="13"/>
      <c r="M50" s="15"/>
      <c r="N50" s="15"/>
    </row>
    <row r="51" spans="1:14" ht="15.5" x14ac:dyDescent="0.35">
      <c r="A51" s="6" t="s">
        <v>0</v>
      </c>
      <c r="B51" s="13"/>
      <c r="C51" s="15"/>
      <c r="D51" s="19">
        <f>D42+D43+D44+D45+D46</f>
        <v>11.372744263287672</v>
      </c>
      <c r="E51" s="13"/>
      <c r="F51" s="6" t="s">
        <v>0</v>
      </c>
      <c r="G51" s="13"/>
      <c r="H51" s="15"/>
      <c r="I51" s="19">
        <f>I42+I43+I44+I45+I46+I47+I48</f>
        <v>12.019203237945218</v>
      </c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D51/9</f>
        <v>1.263638251476408</v>
      </c>
      <c r="F52" s="7" t="s">
        <v>182</v>
      </c>
      <c r="I52" s="74">
        <f>I51/6</f>
        <v>2.0032005396575365</v>
      </c>
    </row>
  </sheetData>
  <mergeCells count="9">
    <mergeCell ref="B40:D40"/>
    <mergeCell ref="G40:I40"/>
    <mergeCell ref="A1:Q1"/>
    <mergeCell ref="A2:Q2"/>
    <mergeCell ref="A3:E3"/>
    <mergeCell ref="B4:H14"/>
    <mergeCell ref="B29:D29"/>
    <mergeCell ref="G29:I29"/>
    <mergeCell ref="L29:N29"/>
  </mergeCells>
  <pageMargins left="0.7" right="0.7" top="0.75" bottom="0.75" header="0.3" footer="0.3"/>
  <pageSetup paperSize="9" orientation="portrait" horizontalDpi="4294967293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50"/>
  <sheetViews>
    <sheetView workbookViewId="0">
      <selection activeCell="A23" sqref="A23:XFD23"/>
    </sheetView>
  </sheetViews>
  <sheetFormatPr defaultRowHeight="12.5" x14ac:dyDescent="0.25"/>
  <cols>
    <col min="1" max="1" width="22.81640625" customWidth="1"/>
    <col min="5" max="5" width="11.453125" customWidth="1"/>
    <col min="6" max="6" width="17.81640625" customWidth="1"/>
    <col min="11" max="11" width="19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192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303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64</v>
      </c>
      <c r="B18" s="28">
        <v>2.5</v>
      </c>
      <c r="C18" s="10">
        <f>'Ingredient Cost'!D64</f>
        <v>7</v>
      </c>
      <c r="D18" s="11">
        <f>B18*C18</f>
        <v>17.5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78</v>
      </c>
      <c r="B19" s="28">
        <v>0.75</v>
      </c>
      <c r="C19" s="10">
        <f>'Ingredient Cost'!D28</f>
        <v>1.1499999999999999</v>
      </c>
      <c r="D19" s="11">
        <f>B19*C19</f>
        <v>0.86249999999999993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10</v>
      </c>
      <c r="B20" s="28">
        <v>1.45</v>
      </c>
      <c r="C20" s="10">
        <v>0</v>
      </c>
      <c r="D20" s="10">
        <f>B20*C20</f>
        <v>0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302</v>
      </c>
      <c r="B21" s="28">
        <v>0.45</v>
      </c>
      <c r="C21" s="10">
        <f>'Ingredient Cost'!D21</f>
        <v>8.9</v>
      </c>
      <c r="D21" s="10">
        <f t="shared" ref="D21:D22" si="0">B21*C21</f>
        <v>4.0049999999999999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81</v>
      </c>
      <c r="B22" s="28">
        <v>0.15</v>
      </c>
      <c r="C22" s="10">
        <f>'Ingredient Cost'!D24</f>
        <v>7.65</v>
      </c>
      <c r="D22" s="10">
        <f t="shared" si="0"/>
        <v>1.1475</v>
      </c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6"/>
      <c r="B23" s="12">
        <f>SUM(B18:B22)</f>
        <v>5.3000000000000007</v>
      </c>
      <c r="C23" s="10"/>
      <c r="D23" s="10">
        <f>SUM(D18:D22)</f>
        <v>23.515000000000001</v>
      </c>
      <c r="E23" s="13"/>
      <c r="F23" s="6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3" x14ac:dyDescent="0.3">
      <c r="A24" s="13"/>
      <c r="B24" s="13"/>
      <c r="C24" s="15"/>
      <c r="D24" s="14"/>
      <c r="E24" s="13"/>
      <c r="F24" s="13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 t="s">
        <v>0</v>
      </c>
      <c r="B25" s="13"/>
      <c r="C25" s="15"/>
      <c r="D25" s="19">
        <f>D23/B23</f>
        <v>4.4367924528301881</v>
      </c>
      <c r="E25" s="13"/>
      <c r="F25" s="6"/>
      <c r="G25" s="13"/>
      <c r="H25" s="15"/>
      <c r="I25" s="20"/>
      <c r="J25" s="13"/>
      <c r="K25" s="22"/>
      <c r="L25" s="22"/>
      <c r="M25" s="13"/>
      <c r="N25" s="13"/>
      <c r="O25" s="13"/>
      <c r="P25" s="13"/>
      <c r="Q25" s="13"/>
    </row>
    <row r="26" spans="1:17" ht="15.5" x14ac:dyDescent="0.35">
      <c r="A26" s="7"/>
      <c r="B26" s="13"/>
      <c r="C26" s="15"/>
      <c r="D26" s="20"/>
      <c r="E26" s="13"/>
      <c r="F26" s="21"/>
      <c r="G26" s="22"/>
      <c r="H26" s="22"/>
      <c r="I26" s="22"/>
      <c r="J26" s="22"/>
      <c r="K26" s="22"/>
      <c r="L26" s="22"/>
      <c r="M26" s="13"/>
      <c r="N26" s="13"/>
      <c r="O26" s="13"/>
      <c r="P26" s="13"/>
      <c r="Q26" s="13"/>
    </row>
    <row r="27" spans="1:17" ht="30" customHeight="1" x14ac:dyDescent="0.35">
      <c r="A27" s="7" t="s">
        <v>3</v>
      </c>
      <c r="B27" s="261" t="s">
        <v>304</v>
      </c>
      <c r="C27" s="261"/>
      <c r="D27" s="261"/>
      <c r="F27" s="7" t="s">
        <v>3</v>
      </c>
      <c r="G27" s="261" t="s">
        <v>305</v>
      </c>
      <c r="H27" s="261"/>
      <c r="I27" s="261"/>
      <c r="K27" s="7" t="s">
        <v>3</v>
      </c>
      <c r="L27" s="261" t="s">
        <v>306</v>
      </c>
      <c r="M27" s="261"/>
      <c r="N27" s="261"/>
    </row>
    <row r="28" spans="1:17" ht="15.5" x14ac:dyDescent="0.35">
      <c r="A28" s="6"/>
      <c r="B28" s="7" t="s">
        <v>1</v>
      </c>
      <c r="C28" s="8" t="s">
        <v>2</v>
      </c>
      <c r="D28" s="9" t="s">
        <v>4</v>
      </c>
      <c r="E28" s="13"/>
      <c r="F28" s="6"/>
      <c r="G28" s="7" t="s">
        <v>1</v>
      </c>
      <c r="H28" s="8" t="s">
        <v>2</v>
      </c>
      <c r="I28" s="9" t="s">
        <v>4</v>
      </c>
      <c r="J28" s="13"/>
      <c r="K28" s="6"/>
      <c r="L28" s="7" t="s">
        <v>1</v>
      </c>
      <c r="M28" s="8" t="s">
        <v>2</v>
      </c>
      <c r="N28" s="9" t="s">
        <v>4</v>
      </c>
    </row>
    <row r="29" spans="1:17" ht="15.5" x14ac:dyDescent="0.35">
      <c r="A29" s="6" t="s">
        <v>199</v>
      </c>
      <c r="B29" s="28">
        <v>0.129</v>
      </c>
      <c r="C29" s="10">
        <f>D25</f>
        <v>4.4367924528301881</v>
      </c>
      <c r="D29" s="11">
        <f>B29*C29</f>
        <v>0.57234622641509425</v>
      </c>
      <c r="E29" s="13"/>
      <c r="F29" s="6" t="s">
        <v>199</v>
      </c>
      <c r="G29" s="28">
        <v>0.25700000000000001</v>
      </c>
      <c r="H29" s="10">
        <f>C29</f>
        <v>4.4367924528301881</v>
      </c>
      <c r="I29" s="11">
        <f>G29*H29</f>
        <v>1.1402556603773584</v>
      </c>
      <c r="J29" s="13"/>
      <c r="K29" s="6" t="s">
        <v>199</v>
      </c>
      <c r="L29" s="28">
        <v>0.74</v>
      </c>
      <c r="M29" s="10">
        <f>C29</f>
        <v>4.4367924528301881</v>
      </c>
      <c r="N29" s="11">
        <f>L29*M29</f>
        <v>3.2832264150943393</v>
      </c>
    </row>
    <row r="30" spans="1:17" ht="15.5" x14ac:dyDescent="0.35">
      <c r="A30" s="6" t="s">
        <v>151</v>
      </c>
      <c r="B30" s="28"/>
      <c r="C30" s="10">
        <f>'Pastry Costing'!F30</f>
        <v>0.2107946902228468</v>
      </c>
      <c r="D30" s="11">
        <f>C30</f>
        <v>0.2107946902228468</v>
      </c>
      <c r="E30" s="13"/>
      <c r="F30" s="6" t="s">
        <v>151</v>
      </c>
      <c r="G30" s="28"/>
      <c r="H30" s="10">
        <f>'Pastry Costing'!F31</f>
        <v>0.34141430034129694</v>
      </c>
      <c r="I30" s="11">
        <f>H30</f>
        <v>0.34141430034129694</v>
      </c>
      <c r="J30" s="13"/>
      <c r="K30" s="6" t="s">
        <v>151</v>
      </c>
      <c r="L30" s="28"/>
      <c r="M30" s="10">
        <f>'Pastry Costing'!F32</f>
        <v>0.52407440273037542</v>
      </c>
      <c r="N30" s="11">
        <f>M30</f>
        <v>0.52407440273037542</v>
      </c>
    </row>
    <row r="31" spans="1:17" ht="15.5" x14ac:dyDescent="0.35">
      <c r="A31" s="7" t="s">
        <v>106</v>
      </c>
      <c r="B31" s="28">
        <v>1</v>
      </c>
      <c r="C31" s="10">
        <f>'Ingredient Cost'!D95</f>
        <v>0.09</v>
      </c>
      <c r="D31" s="10">
        <f>B31*C31</f>
        <v>0.09</v>
      </c>
      <c r="E31" s="13"/>
      <c r="F31" s="7" t="s">
        <v>106</v>
      </c>
      <c r="G31" s="28">
        <v>1</v>
      </c>
      <c r="H31" s="10">
        <f>'Ingredient Cost'!D96</f>
        <v>0.12</v>
      </c>
      <c r="I31" s="10">
        <f>G31*H31</f>
        <v>0.12</v>
      </c>
      <c r="J31" s="13"/>
      <c r="K31" s="7" t="s">
        <v>106</v>
      </c>
      <c r="L31" s="28">
        <v>1</v>
      </c>
      <c r="M31" s="10">
        <f>'Ingredient Cost'!D97</f>
        <v>0.2</v>
      </c>
      <c r="N31" s="10">
        <f>L31*M31</f>
        <v>0.2</v>
      </c>
    </row>
    <row r="32" spans="1:17" ht="15.5" x14ac:dyDescent="0.35">
      <c r="A32" s="7" t="s">
        <v>180</v>
      </c>
      <c r="B32" s="28">
        <v>90</v>
      </c>
      <c r="C32" s="10">
        <f>'Steak Pie v2'!C53</f>
        <v>20</v>
      </c>
      <c r="D32" s="10">
        <f>C32/B32</f>
        <v>0.22222222222222221</v>
      </c>
      <c r="E32" s="13"/>
      <c r="F32" s="7" t="s">
        <v>140</v>
      </c>
      <c r="G32" s="28">
        <v>48</v>
      </c>
      <c r="H32" s="10">
        <f>C32</f>
        <v>20</v>
      </c>
      <c r="I32" s="10">
        <f>H32/G32</f>
        <v>0.41666666666666669</v>
      </c>
      <c r="J32" s="13"/>
      <c r="K32" s="7" t="s">
        <v>140</v>
      </c>
      <c r="L32" s="28">
        <v>32</v>
      </c>
      <c r="M32" s="10">
        <f>C32</f>
        <v>20</v>
      </c>
      <c r="N32" s="10">
        <f>M32/L32</f>
        <v>0.625</v>
      </c>
    </row>
    <row r="33" spans="1:14" ht="15.5" x14ac:dyDescent="0.35">
      <c r="A33" s="7"/>
      <c r="B33" s="12"/>
      <c r="C33" s="10"/>
      <c r="D33" s="10"/>
      <c r="E33" s="13"/>
      <c r="F33" s="7"/>
      <c r="G33" s="12"/>
      <c r="H33" s="10"/>
      <c r="I33" s="10"/>
      <c r="J33" s="13"/>
      <c r="K33" s="7"/>
      <c r="L33" s="12"/>
      <c r="M33" s="10"/>
      <c r="N33" s="10"/>
    </row>
    <row r="34" spans="1:14" ht="13" x14ac:dyDescent="0.3">
      <c r="A34" s="13"/>
      <c r="B34" s="13"/>
      <c r="C34" s="15"/>
      <c r="D34" s="14"/>
      <c r="E34" s="13"/>
      <c r="F34" s="13"/>
      <c r="G34" s="13"/>
      <c r="H34" s="15"/>
      <c r="I34" s="14"/>
      <c r="J34" s="13"/>
      <c r="K34" s="13"/>
      <c r="L34" s="13"/>
      <c r="M34" s="15"/>
      <c r="N34" s="14"/>
    </row>
    <row r="35" spans="1:14" ht="15.5" x14ac:dyDescent="0.35">
      <c r="A35" s="6" t="s">
        <v>0</v>
      </c>
      <c r="B35" s="13"/>
      <c r="C35" s="15"/>
      <c r="D35" s="19">
        <f>D29+D30+D31+D32</f>
        <v>1.0953631388601632</v>
      </c>
      <c r="E35" s="13"/>
      <c r="F35" s="6" t="s">
        <v>0</v>
      </c>
      <c r="G35" s="13"/>
      <c r="H35" s="15"/>
      <c r="I35" s="19">
        <f>I29+I30+I31+I32</f>
        <v>2.018336627385322</v>
      </c>
      <c r="J35" s="13"/>
      <c r="K35" s="6" t="s">
        <v>0</v>
      </c>
      <c r="L35" s="13"/>
      <c r="M35" s="15"/>
      <c r="N35" s="19">
        <f>N29+N30+N31+N32</f>
        <v>4.6323008178247145</v>
      </c>
    </row>
    <row r="38" spans="1:14" ht="30" customHeight="1" x14ac:dyDescent="0.35">
      <c r="A38" s="7" t="s">
        <v>3</v>
      </c>
      <c r="B38" s="261" t="s">
        <v>307</v>
      </c>
      <c r="C38" s="261"/>
      <c r="D38" s="261"/>
      <c r="F38" s="7" t="s">
        <v>3</v>
      </c>
      <c r="G38" s="261" t="s">
        <v>308</v>
      </c>
      <c r="H38" s="261"/>
      <c r="I38" s="261"/>
      <c r="K38" s="7"/>
      <c r="L38" s="47"/>
      <c r="M38" s="48"/>
      <c r="N38" s="49"/>
    </row>
    <row r="39" spans="1:14" ht="15.5" x14ac:dyDescent="0.35">
      <c r="A39" s="6"/>
      <c r="B39" s="7" t="s">
        <v>1</v>
      </c>
      <c r="C39" s="8" t="s">
        <v>2</v>
      </c>
      <c r="D39" s="9" t="s">
        <v>4</v>
      </c>
      <c r="E39" s="13"/>
      <c r="F39" s="6"/>
      <c r="G39" s="7" t="s">
        <v>1</v>
      </c>
      <c r="H39" s="8" t="s">
        <v>2</v>
      </c>
      <c r="I39" s="9" t="s">
        <v>4</v>
      </c>
      <c r="J39" s="13"/>
      <c r="K39" s="7"/>
      <c r="L39" s="7"/>
      <c r="M39" s="8"/>
      <c r="N39" s="8"/>
    </row>
    <row r="40" spans="1:14" ht="15.5" x14ac:dyDescent="0.35">
      <c r="A40" s="6" t="s">
        <v>138</v>
      </c>
      <c r="B40" s="28">
        <v>9</v>
      </c>
      <c r="C40" s="10">
        <f>D35</f>
        <v>1.0953631388601632</v>
      </c>
      <c r="D40" s="11">
        <f>B40*C40</f>
        <v>9.8582682497414691</v>
      </c>
      <c r="E40" s="13"/>
      <c r="F40" s="6" t="s">
        <v>138</v>
      </c>
      <c r="G40" s="28">
        <v>6</v>
      </c>
      <c r="H40" s="10">
        <f>I35</f>
        <v>2.018336627385322</v>
      </c>
      <c r="I40" s="11">
        <f>G40*H40</f>
        <v>12.110019764311932</v>
      </c>
      <c r="J40" s="13"/>
      <c r="K40" s="7"/>
      <c r="L40" s="13"/>
      <c r="M40" s="15"/>
      <c r="N40" s="74"/>
    </row>
    <row r="41" spans="1:14" ht="15.5" x14ac:dyDescent="0.35">
      <c r="A41" s="6" t="s">
        <v>94</v>
      </c>
      <c r="B41" s="28">
        <v>1</v>
      </c>
      <c r="C41" s="10">
        <f>'Ingredient Cost'!D86</f>
        <v>0.12</v>
      </c>
      <c r="D41" s="11">
        <f>B41*C41</f>
        <v>0.12</v>
      </c>
      <c r="E41" s="13"/>
      <c r="F41" s="6" t="s">
        <v>94</v>
      </c>
      <c r="G41" s="28">
        <v>1</v>
      </c>
      <c r="H41" s="10">
        <f>C41</f>
        <v>0.12</v>
      </c>
      <c r="I41" s="11">
        <f>G41*H41</f>
        <v>0.12</v>
      </c>
      <c r="J41" s="13"/>
      <c r="K41" s="7"/>
      <c r="L41" s="13"/>
      <c r="M41" s="15"/>
      <c r="N41" s="74"/>
    </row>
    <row r="42" spans="1:14" ht="15.5" x14ac:dyDescent="0.35">
      <c r="A42" s="6" t="s">
        <v>139</v>
      </c>
      <c r="B42" s="28">
        <v>9</v>
      </c>
      <c r="C42" s="10">
        <f>'Ingredient Cost'!D90</f>
        <v>0.22</v>
      </c>
      <c r="D42" s="10">
        <f>B42*C42</f>
        <v>1.98</v>
      </c>
      <c r="E42" s="13"/>
      <c r="F42" s="6" t="s">
        <v>139</v>
      </c>
      <c r="G42" s="28">
        <v>6</v>
      </c>
      <c r="H42" s="10">
        <v>0.1</v>
      </c>
      <c r="I42" s="10">
        <f>G42*H42</f>
        <v>0.60000000000000009</v>
      </c>
      <c r="J42" s="13"/>
      <c r="K42" s="7"/>
      <c r="L42" s="13"/>
      <c r="M42" s="15"/>
      <c r="N42" s="15"/>
    </row>
    <row r="43" spans="1:14" ht="15.5" x14ac:dyDescent="0.35">
      <c r="A43" s="7" t="s">
        <v>66</v>
      </c>
      <c r="B43" s="28">
        <v>1</v>
      </c>
      <c r="C43" s="10">
        <f>'Ingredient Cost'!D108</f>
        <v>0.2</v>
      </c>
      <c r="D43" s="10">
        <f>B43*C43</f>
        <v>0.2</v>
      </c>
      <c r="E43" s="13"/>
      <c r="F43" s="7" t="s">
        <v>66</v>
      </c>
      <c r="G43" s="28">
        <v>1</v>
      </c>
      <c r="H43" s="10">
        <f>C43</f>
        <v>0.2</v>
      </c>
      <c r="I43" s="10">
        <f>G43*H43</f>
        <v>0.2</v>
      </c>
      <c r="J43" s="13"/>
      <c r="K43" s="7"/>
      <c r="L43" s="13"/>
      <c r="M43" s="15"/>
      <c r="N43" s="15"/>
    </row>
    <row r="44" spans="1:14" ht="15.5" x14ac:dyDescent="0.35">
      <c r="A44" s="7" t="s">
        <v>180</v>
      </c>
      <c r="B44" s="28">
        <v>75</v>
      </c>
      <c r="C44" s="10">
        <f>C32</f>
        <v>20</v>
      </c>
      <c r="D44" s="10">
        <f>C44/B44</f>
        <v>0.26666666666666666</v>
      </c>
      <c r="E44" s="13"/>
      <c r="F44" s="7" t="s">
        <v>180</v>
      </c>
      <c r="G44" s="28">
        <v>75</v>
      </c>
      <c r="H44" s="10">
        <f>C32</f>
        <v>20</v>
      </c>
      <c r="I44" s="10">
        <f>H44/G44</f>
        <v>0.26666666666666666</v>
      </c>
      <c r="J44" s="13"/>
      <c r="K44" s="7"/>
      <c r="L44" s="13"/>
      <c r="M44" s="15"/>
      <c r="N44" s="15"/>
    </row>
    <row r="45" spans="1:14" ht="15.5" x14ac:dyDescent="0.35">
      <c r="A45" s="7"/>
      <c r="B45" s="28"/>
      <c r="C45" s="10"/>
      <c r="D45" s="10"/>
      <c r="E45" s="13"/>
      <c r="F45" s="7" t="s">
        <v>67</v>
      </c>
      <c r="G45" s="28">
        <v>6</v>
      </c>
      <c r="H45" s="10">
        <f>'Steak Pie v2'!H64</f>
        <v>0.01</v>
      </c>
      <c r="I45" s="10">
        <f>G45*H45</f>
        <v>0.06</v>
      </c>
      <c r="J45" s="13"/>
      <c r="K45" s="7"/>
      <c r="L45" s="13"/>
      <c r="M45" s="15"/>
      <c r="N45" s="15"/>
    </row>
    <row r="46" spans="1:14" ht="15.5" x14ac:dyDescent="0.35">
      <c r="A46" s="7"/>
      <c r="B46" s="28"/>
      <c r="C46" s="10"/>
      <c r="D46" s="10"/>
      <c r="E46" s="13"/>
      <c r="F46" s="7" t="s">
        <v>184</v>
      </c>
      <c r="G46" s="28">
        <v>6</v>
      </c>
      <c r="H46" s="10">
        <v>0.01</v>
      </c>
      <c r="I46" s="10">
        <f>G46*H46</f>
        <v>0.06</v>
      </c>
      <c r="J46" s="13"/>
      <c r="K46" s="7"/>
      <c r="L46" s="13"/>
      <c r="M46" s="15"/>
      <c r="N46" s="15"/>
    </row>
    <row r="47" spans="1:14" ht="15.5" x14ac:dyDescent="0.35">
      <c r="A47" s="7"/>
      <c r="B47" s="12"/>
      <c r="C47" s="10"/>
      <c r="D47" s="10"/>
      <c r="E47" s="13"/>
      <c r="F47" s="7"/>
      <c r="G47" s="12"/>
      <c r="H47" s="10"/>
      <c r="I47" s="10"/>
      <c r="J47" s="13"/>
      <c r="K47" s="7"/>
      <c r="L47" s="13"/>
      <c r="M47" s="15"/>
      <c r="N47" s="15"/>
    </row>
    <row r="48" spans="1:14" ht="13" x14ac:dyDescent="0.3">
      <c r="A48" s="13"/>
      <c r="B48" s="13"/>
      <c r="C48" s="15"/>
      <c r="D48" s="14"/>
      <c r="E48" s="13"/>
      <c r="F48" s="13"/>
      <c r="G48" s="13"/>
      <c r="H48" s="15"/>
      <c r="I48" s="14"/>
      <c r="J48" s="13"/>
      <c r="K48" s="13"/>
      <c r="L48" s="13"/>
      <c r="M48" s="15"/>
      <c r="N48" s="15"/>
    </row>
    <row r="49" spans="1:14" ht="15.5" x14ac:dyDescent="0.35">
      <c r="A49" s="6" t="s">
        <v>0</v>
      </c>
      <c r="B49" s="13"/>
      <c r="C49" s="15"/>
      <c r="D49" s="19">
        <f>D40+D41+D42+D43+D44</f>
        <v>12.424934916408136</v>
      </c>
      <c r="E49" s="13"/>
      <c r="F49" s="6" t="s">
        <v>0</v>
      </c>
      <c r="G49" s="13"/>
      <c r="H49" s="15"/>
      <c r="I49" s="19">
        <f>I40+I41+I42+I43+I44+I45+I46</f>
        <v>13.416686430978599</v>
      </c>
      <c r="J49" s="13"/>
      <c r="K49" s="7"/>
      <c r="L49" s="13"/>
      <c r="M49" s="15"/>
      <c r="N49" s="82"/>
    </row>
    <row r="50" spans="1:14" ht="15.5" x14ac:dyDescent="0.35">
      <c r="A50" s="7" t="s">
        <v>182</v>
      </c>
      <c r="D50" s="74">
        <f>D49/9</f>
        <v>1.3805483240453484</v>
      </c>
      <c r="F50" s="7" t="s">
        <v>182</v>
      </c>
      <c r="I50" s="74">
        <f>I49/6</f>
        <v>2.2361144051630997</v>
      </c>
    </row>
  </sheetData>
  <mergeCells count="9">
    <mergeCell ref="B38:D38"/>
    <mergeCell ref="G38:I38"/>
    <mergeCell ref="A1:Q1"/>
    <mergeCell ref="A2:Q2"/>
    <mergeCell ref="A3:E3"/>
    <mergeCell ref="B4:H14"/>
    <mergeCell ref="B27:D27"/>
    <mergeCell ref="G27:I27"/>
    <mergeCell ref="L27:N27"/>
  </mergeCells>
  <pageMargins left="0.7" right="0.7" top="0.75" bottom="0.75" header="0.3" footer="0.3"/>
  <pageSetup paperSize="9" orientation="portrait" horizontalDpi="4294967293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2"/>
  <sheetViews>
    <sheetView workbookViewId="0">
      <selection activeCell="C28" sqref="C28"/>
    </sheetView>
  </sheetViews>
  <sheetFormatPr defaultRowHeight="12.5" x14ac:dyDescent="0.25"/>
  <cols>
    <col min="1" max="1" width="22.81640625" customWidth="1"/>
    <col min="5" max="5" width="11.453125" customWidth="1"/>
    <col min="6" max="6" width="17.81640625" customWidth="1"/>
    <col min="11" max="11" width="19.1796875" customWidth="1"/>
  </cols>
  <sheetData>
    <row r="1" spans="1:17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17" ht="26" x14ac:dyDescent="0.25">
      <c r="A3" s="249" t="s">
        <v>193</v>
      </c>
      <c r="B3" s="249"/>
      <c r="C3" s="249"/>
      <c r="D3" s="249"/>
      <c r="E3" s="249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15.75" customHeight="1" x14ac:dyDescent="0.3">
      <c r="A4" s="17" t="s">
        <v>6</v>
      </c>
      <c r="B4" s="251" t="s">
        <v>24</v>
      </c>
      <c r="C4" s="252"/>
      <c r="D4" s="252"/>
      <c r="E4" s="252"/>
      <c r="F4" s="252"/>
      <c r="G4" s="252"/>
      <c r="H4" s="253"/>
      <c r="I4" s="29"/>
      <c r="J4" s="29"/>
      <c r="K4" s="29"/>
      <c r="L4" s="30"/>
      <c r="M4" s="13"/>
      <c r="N4" s="13"/>
      <c r="O4" s="13"/>
      <c r="P4" s="13"/>
      <c r="Q4" s="13"/>
    </row>
    <row r="5" spans="1:17" ht="13" x14ac:dyDescent="0.3">
      <c r="A5" s="13"/>
      <c r="B5" s="254"/>
      <c r="C5" s="255"/>
      <c r="D5" s="255"/>
      <c r="E5" s="255"/>
      <c r="F5" s="255"/>
      <c r="G5" s="255"/>
      <c r="H5" s="256"/>
      <c r="I5" s="22"/>
      <c r="J5" s="22"/>
      <c r="K5" s="22"/>
      <c r="L5" s="23"/>
      <c r="M5" s="13"/>
      <c r="N5" s="13"/>
      <c r="O5" s="13"/>
      <c r="P5" s="13"/>
      <c r="Q5" s="13"/>
    </row>
    <row r="6" spans="1:17" ht="13" x14ac:dyDescent="0.3">
      <c r="A6" s="13"/>
      <c r="B6" s="254"/>
      <c r="C6" s="255"/>
      <c r="D6" s="255"/>
      <c r="E6" s="255"/>
      <c r="F6" s="255"/>
      <c r="G6" s="255"/>
      <c r="H6" s="256"/>
      <c r="I6" s="22"/>
      <c r="J6" s="22"/>
      <c r="K6" s="22"/>
      <c r="L6" s="23"/>
      <c r="M6" s="13"/>
      <c r="N6" s="13"/>
      <c r="O6" s="13"/>
      <c r="P6" s="13"/>
      <c r="Q6" s="13"/>
    </row>
    <row r="7" spans="1:17" ht="13" x14ac:dyDescent="0.3">
      <c r="A7" s="13"/>
      <c r="B7" s="254"/>
      <c r="C7" s="255"/>
      <c r="D7" s="255"/>
      <c r="E7" s="255"/>
      <c r="F7" s="255"/>
      <c r="G7" s="255"/>
      <c r="H7" s="256"/>
      <c r="I7" s="22"/>
      <c r="J7" s="22"/>
      <c r="K7" s="22"/>
      <c r="L7" s="23"/>
      <c r="M7" s="13"/>
      <c r="N7" s="13"/>
      <c r="O7" s="13"/>
      <c r="P7" s="13"/>
      <c r="Q7" s="13"/>
    </row>
    <row r="8" spans="1:17" ht="13" x14ac:dyDescent="0.3">
      <c r="A8" s="13"/>
      <c r="B8" s="254"/>
      <c r="C8" s="255"/>
      <c r="D8" s="255"/>
      <c r="E8" s="255"/>
      <c r="F8" s="255"/>
      <c r="G8" s="255"/>
      <c r="H8" s="256"/>
      <c r="I8" s="22"/>
      <c r="J8" s="22"/>
      <c r="K8" s="22"/>
      <c r="L8" s="23"/>
      <c r="M8" s="13"/>
      <c r="N8" s="13"/>
      <c r="O8" s="13"/>
      <c r="P8" s="13"/>
      <c r="Q8" s="13"/>
    </row>
    <row r="9" spans="1:17" ht="13" x14ac:dyDescent="0.3">
      <c r="A9" s="13"/>
      <c r="B9" s="254"/>
      <c r="C9" s="255"/>
      <c r="D9" s="255"/>
      <c r="E9" s="255"/>
      <c r="F9" s="255"/>
      <c r="G9" s="255"/>
      <c r="H9" s="256"/>
      <c r="I9" s="22"/>
      <c r="J9" s="22"/>
      <c r="K9" s="22"/>
      <c r="L9" s="23"/>
      <c r="M9" s="13"/>
      <c r="N9" s="13"/>
      <c r="O9" s="13"/>
      <c r="P9" s="13"/>
      <c r="Q9" s="13"/>
    </row>
    <row r="10" spans="1:17" ht="13" x14ac:dyDescent="0.3">
      <c r="A10" s="13"/>
      <c r="B10" s="254"/>
      <c r="C10" s="255"/>
      <c r="D10" s="255"/>
      <c r="E10" s="255"/>
      <c r="F10" s="255"/>
      <c r="G10" s="255"/>
      <c r="H10" s="256"/>
      <c r="I10" s="22"/>
      <c r="J10" s="22"/>
      <c r="K10" s="22"/>
      <c r="L10" s="23"/>
      <c r="M10" s="13"/>
      <c r="N10" s="13"/>
      <c r="O10" s="13"/>
      <c r="P10" s="13"/>
      <c r="Q10" s="13"/>
    </row>
    <row r="11" spans="1:17" ht="13" x14ac:dyDescent="0.3">
      <c r="A11" s="13"/>
      <c r="B11" s="254"/>
      <c r="C11" s="255"/>
      <c r="D11" s="255"/>
      <c r="E11" s="255"/>
      <c r="F11" s="255"/>
      <c r="G11" s="255"/>
      <c r="H11" s="256"/>
      <c r="I11" s="22"/>
      <c r="J11" s="22"/>
      <c r="K11" s="22"/>
      <c r="L11" s="23"/>
      <c r="M11" s="13"/>
      <c r="N11" s="13"/>
      <c r="O11" s="13"/>
      <c r="P11" s="13"/>
      <c r="Q11" s="13"/>
    </row>
    <row r="12" spans="1:17" ht="13" x14ac:dyDescent="0.3">
      <c r="A12" s="13"/>
      <c r="B12" s="254"/>
      <c r="C12" s="255"/>
      <c r="D12" s="255"/>
      <c r="E12" s="255"/>
      <c r="F12" s="255"/>
      <c r="G12" s="255"/>
      <c r="H12" s="256"/>
      <c r="I12" s="22"/>
      <c r="J12" s="22"/>
      <c r="K12" s="22"/>
      <c r="L12" s="23"/>
      <c r="M12" s="13"/>
      <c r="N12" s="13"/>
      <c r="O12" s="13"/>
      <c r="P12" s="13"/>
      <c r="Q12" s="13"/>
    </row>
    <row r="13" spans="1:17" ht="13" x14ac:dyDescent="0.3">
      <c r="A13" s="13"/>
      <c r="B13" s="254"/>
      <c r="C13" s="255"/>
      <c r="D13" s="255"/>
      <c r="E13" s="255"/>
      <c r="F13" s="255"/>
      <c r="G13" s="255"/>
      <c r="H13" s="256"/>
      <c r="I13" s="22"/>
      <c r="J13" s="22"/>
      <c r="K13" s="22"/>
      <c r="L13" s="23"/>
      <c r="M13" s="13"/>
      <c r="N13" s="13"/>
      <c r="O13" s="13"/>
      <c r="P13" s="13"/>
      <c r="Q13" s="13"/>
    </row>
    <row r="14" spans="1:17" ht="13" x14ac:dyDescent="0.3">
      <c r="A14" s="26"/>
      <c r="B14" s="257"/>
      <c r="C14" s="258"/>
      <c r="D14" s="258"/>
      <c r="E14" s="258"/>
      <c r="F14" s="258"/>
      <c r="G14" s="258"/>
      <c r="H14" s="259"/>
      <c r="I14" s="24"/>
      <c r="J14" s="24"/>
      <c r="K14" s="24"/>
      <c r="L14" s="25"/>
      <c r="M14" s="13"/>
      <c r="N14" s="13"/>
      <c r="O14" s="13"/>
      <c r="P14" s="13"/>
      <c r="Q14" s="13"/>
    </row>
    <row r="15" spans="1:17" ht="15.5" x14ac:dyDescent="0.35">
      <c r="A15" s="7"/>
      <c r="B15" s="13"/>
      <c r="C15" s="15"/>
      <c r="D15" s="20"/>
      <c r="E15" s="13"/>
      <c r="F15" s="21"/>
      <c r="G15" s="22"/>
      <c r="H15" s="22"/>
      <c r="I15" s="22"/>
      <c r="J15" s="22"/>
      <c r="K15" s="22"/>
      <c r="L15" s="23"/>
      <c r="M15" s="13"/>
      <c r="N15" s="13"/>
      <c r="O15" s="13"/>
      <c r="P15" s="13"/>
      <c r="Q15" s="13"/>
    </row>
    <row r="16" spans="1:17" ht="15.5" x14ac:dyDescent="0.35">
      <c r="A16" s="6" t="s">
        <v>3</v>
      </c>
      <c r="B16" s="78" t="s">
        <v>309</v>
      </c>
      <c r="C16" s="8"/>
      <c r="D16" s="9"/>
      <c r="E16" s="13"/>
      <c r="F16" s="6"/>
      <c r="G16" s="3"/>
      <c r="H16" s="4"/>
      <c r="I16" s="4"/>
      <c r="J16" s="13"/>
      <c r="K16" s="22"/>
      <c r="L16" s="22"/>
      <c r="M16" s="13"/>
      <c r="N16" s="13"/>
      <c r="O16" s="13"/>
      <c r="P16" s="13"/>
      <c r="Q16" s="13"/>
    </row>
    <row r="17" spans="1:17" ht="15.5" x14ac:dyDescent="0.35">
      <c r="A17" s="6"/>
      <c r="B17" s="7" t="s">
        <v>1</v>
      </c>
      <c r="C17" s="8" t="s">
        <v>2</v>
      </c>
      <c r="D17" s="9" t="s">
        <v>4</v>
      </c>
      <c r="E17" s="13"/>
      <c r="F17" s="6"/>
      <c r="G17" s="7"/>
      <c r="H17" s="8"/>
      <c r="I17" s="8"/>
      <c r="J17" s="13"/>
      <c r="K17" s="22"/>
      <c r="L17" s="22"/>
      <c r="M17" s="13"/>
      <c r="N17" s="13"/>
      <c r="O17" s="13"/>
      <c r="P17" s="13"/>
      <c r="Q17" s="13"/>
    </row>
    <row r="18" spans="1:17" ht="15.5" x14ac:dyDescent="0.35">
      <c r="A18" s="6" t="s">
        <v>310</v>
      </c>
      <c r="B18" s="28">
        <v>2</v>
      </c>
      <c r="C18" s="10">
        <f>'Ingredient Cost'!D58</f>
        <v>6</v>
      </c>
      <c r="D18" s="11">
        <f>B18*C18</f>
        <v>12</v>
      </c>
      <c r="E18" s="13"/>
      <c r="F18" s="6"/>
      <c r="G18" s="13"/>
      <c r="H18" s="15"/>
      <c r="I18" s="74"/>
      <c r="J18" s="13"/>
      <c r="K18" s="22"/>
      <c r="L18" s="22"/>
      <c r="M18" s="13"/>
      <c r="N18" s="13"/>
      <c r="O18" s="13"/>
      <c r="P18" s="13"/>
      <c r="Q18" s="13"/>
    </row>
    <row r="19" spans="1:17" ht="15.5" x14ac:dyDescent="0.35">
      <c r="A19" s="6" t="s">
        <v>168</v>
      </c>
      <c r="B19" s="28">
        <v>1</v>
      </c>
      <c r="C19" s="10">
        <f>'Ingredient Cost'!D12</f>
        <v>0.74</v>
      </c>
      <c r="D19" s="11">
        <f>B19*C19</f>
        <v>0.74</v>
      </c>
      <c r="E19" s="13"/>
      <c r="F19" s="6"/>
      <c r="G19" s="13"/>
      <c r="H19" s="15"/>
      <c r="I19" s="74"/>
      <c r="J19" s="13"/>
      <c r="K19" s="22"/>
      <c r="L19" s="22"/>
      <c r="M19" s="13"/>
      <c r="N19" s="13"/>
      <c r="O19" s="13"/>
      <c r="P19" s="13"/>
      <c r="Q19" s="13"/>
    </row>
    <row r="20" spans="1:17" ht="15.5" x14ac:dyDescent="0.35">
      <c r="A20" s="6" t="s">
        <v>178</v>
      </c>
      <c r="B20" s="28">
        <v>0.375</v>
      </c>
      <c r="C20" s="10">
        <f>'Ingredient Cost'!D21</f>
        <v>8.9</v>
      </c>
      <c r="D20" s="10">
        <f>B20*C20</f>
        <v>3.3375000000000004</v>
      </c>
      <c r="E20" s="13"/>
      <c r="F20" s="6"/>
      <c r="G20" s="13"/>
      <c r="H20" s="15"/>
      <c r="I20" s="15"/>
      <c r="J20" s="13"/>
      <c r="K20" s="22"/>
      <c r="L20" s="22"/>
      <c r="M20" s="13"/>
      <c r="N20" s="13"/>
      <c r="O20" s="13"/>
      <c r="P20" s="13"/>
      <c r="Q20" s="13"/>
    </row>
    <row r="21" spans="1:17" ht="15.5" x14ac:dyDescent="0.35">
      <c r="A21" s="7" t="s">
        <v>311</v>
      </c>
      <c r="B21" s="28">
        <v>5.0000000000000001E-3</v>
      </c>
      <c r="C21" s="10">
        <f>'Ingredient Cost'!D22</f>
        <v>13</v>
      </c>
      <c r="D21" s="10">
        <f t="shared" ref="D21:D23" si="0">B21*C21</f>
        <v>6.5000000000000002E-2</v>
      </c>
      <c r="E21" s="13"/>
      <c r="F21" s="7"/>
      <c r="G21" s="13"/>
      <c r="H21" s="15"/>
      <c r="I21" s="15"/>
      <c r="J21" s="13"/>
      <c r="K21" s="22"/>
      <c r="L21" s="22"/>
      <c r="M21" s="13"/>
      <c r="N21" s="13"/>
      <c r="O21" s="13"/>
      <c r="P21" s="13"/>
      <c r="Q21" s="13"/>
    </row>
    <row r="22" spans="1:17" ht="15.5" x14ac:dyDescent="0.35">
      <c r="A22" s="7" t="s">
        <v>10</v>
      </c>
      <c r="B22" s="28">
        <v>0.25</v>
      </c>
      <c r="C22" s="10">
        <v>0</v>
      </c>
      <c r="D22" s="10">
        <f t="shared" si="0"/>
        <v>0</v>
      </c>
      <c r="E22" s="13"/>
      <c r="F22" s="7"/>
      <c r="G22" s="13"/>
      <c r="H22" s="15"/>
      <c r="I22" s="15"/>
      <c r="J22" s="13"/>
      <c r="K22" s="22"/>
      <c r="L22" s="22"/>
      <c r="M22" s="13"/>
      <c r="N22" s="13"/>
      <c r="O22" s="13"/>
      <c r="P22" s="13"/>
      <c r="Q22" s="13"/>
    </row>
    <row r="23" spans="1:17" ht="15.5" x14ac:dyDescent="0.35">
      <c r="A23" s="7" t="s">
        <v>78</v>
      </c>
      <c r="B23" s="28">
        <v>1</v>
      </c>
      <c r="C23" s="10">
        <f>'Ingredient Cost'!D28</f>
        <v>1.1499999999999999</v>
      </c>
      <c r="D23" s="10">
        <f t="shared" si="0"/>
        <v>1.1499999999999999</v>
      </c>
      <c r="E23" s="13"/>
      <c r="F23" s="7"/>
      <c r="G23" s="13"/>
      <c r="H23" s="15"/>
      <c r="I23" s="15"/>
      <c r="J23" s="13"/>
      <c r="K23" s="22"/>
      <c r="L23" s="22"/>
      <c r="M23" s="13"/>
      <c r="N23" s="13"/>
      <c r="O23" s="13"/>
      <c r="P23" s="13"/>
      <c r="Q23" s="13"/>
    </row>
    <row r="24" spans="1:17" ht="15.5" x14ac:dyDescent="0.35">
      <c r="A24" s="7"/>
      <c r="B24" s="12"/>
      <c r="C24" s="10"/>
      <c r="D24" s="10"/>
      <c r="E24" s="13"/>
      <c r="F24" s="7"/>
      <c r="G24" s="13"/>
      <c r="H24" s="15"/>
      <c r="I24" s="15"/>
      <c r="J24" s="13"/>
      <c r="K24" s="22"/>
      <c r="L24" s="22"/>
      <c r="M24" s="13"/>
      <c r="N24" s="13"/>
      <c r="O24" s="13"/>
      <c r="P24" s="13"/>
      <c r="Q24" s="13"/>
    </row>
    <row r="25" spans="1:17" ht="15.5" x14ac:dyDescent="0.35">
      <c r="A25" s="6"/>
      <c r="B25" s="12">
        <f>SUM(B18:B23)</f>
        <v>4.63</v>
      </c>
      <c r="C25" s="10"/>
      <c r="D25" s="10">
        <f>SUM(D18:D23)</f>
        <v>17.2925</v>
      </c>
      <c r="E25" s="13"/>
      <c r="F25" s="6"/>
      <c r="G25" s="13"/>
      <c r="H25" s="15"/>
      <c r="I25" s="15"/>
      <c r="J25" s="13"/>
      <c r="K25" s="22"/>
      <c r="L25" s="22"/>
      <c r="M25" s="13"/>
      <c r="N25" s="13"/>
      <c r="O25" s="13"/>
      <c r="P25" s="13"/>
      <c r="Q25" s="13"/>
    </row>
    <row r="26" spans="1:17" ht="13" x14ac:dyDescent="0.3">
      <c r="A26" s="13"/>
      <c r="B26" s="13"/>
      <c r="C26" s="15"/>
      <c r="D26" s="14"/>
      <c r="E26" s="13"/>
      <c r="F26" s="13"/>
      <c r="G26" s="13"/>
      <c r="H26" s="15"/>
      <c r="I26" s="15"/>
      <c r="J26" s="13"/>
      <c r="K26" s="22"/>
      <c r="L26" s="22"/>
      <c r="M26" s="13"/>
      <c r="N26" s="13"/>
      <c r="O26" s="13"/>
      <c r="P26" s="13"/>
      <c r="Q26" s="13"/>
    </row>
    <row r="27" spans="1:17" ht="15.5" x14ac:dyDescent="0.35">
      <c r="A27" s="6" t="s">
        <v>0</v>
      </c>
      <c r="B27" s="13"/>
      <c r="C27" s="15"/>
      <c r="D27" s="19">
        <f>D25/B25</f>
        <v>3.7348812095032398</v>
      </c>
      <c r="E27" s="13"/>
      <c r="F27" s="6"/>
      <c r="G27" s="13"/>
      <c r="H27" s="15"/>
      <c r="I27" s="20"/>
      <c r="J27" s="13"/>
      <c r="K27" s="22"/>
      <c r="L27" s="22"/>
      <c r="M27" s="13"/>
      <c r="N27" s="13"/>
      <c r="O27" s="13"/>
      <c r="P27" s="13"/>
      <c r="Q27" s="13"/>
    </row>
    <row r="28" spans="1:17" ht="15.5" x14ac:dyDescent="0.35">
      <c r="A28" s="7"/>
      <c r="B28" s="13"/>
      <c r="C28" s="15"/>
      <c r="D28" s="20"/>
      <c r="E28" s="13"/>
      <c r="F28" s="21"/>
      <c r="G28" s="22"/>
      <c r="H28" s="22"/>
      <c r="I28" s="22"/>
      <c r="J28" s="22"/>
      <c r="K28" s="22"/>
      <c r="L28" s="22"/>
      <c r="M28" s="13"/>
      <c r="N28" s="13"/>
      <c r="O28" s="13"/>
      <c r="P28" s="13"/>
      <c r="Q28" s="13"/>
    </row>
    <row r="29" spans="1:17" ht="36" customHeight="1" x14ac:dyDescent="0.35">
      <c r="A29" s="7" t="s">
        <v>3</v>
      </c>
      <c r="B29" s="261" t="s">
        <v>313</v>
      </c>
      <c r="C29" s="261"/>
      <c r="D29" s="261"/>
      <c r="F29" s="7" t="s">
        <v>3</v>
      </c>
      <c r="G29" s="261" t="s">
        <v>314</v>
      </c>
      <c r="H29" s="261"/>
      <c r="I29" s="261"/>
      <c r="K29" s="7" t="s">
        <v>3</v>
      </c>
      <c r="L29" s="261" t="s">
        <v>315</v>
      </c>
      <c r="M29" s="261"/>
      <c r="N29" s="261"/>
    </row>
    <row r="30" spans="1:17" ht="15.5" x14ac:dyDescent="0.35">
      <c r="A30" s="6"/>
      <c r="B30" s="7" t="s">
        <v>1</v>
      </c>
      <c r="C30" s="8" t="s">
        <v>2</v>
      </c>
      <c r="D30" s="9" t="s">
        <v>4</v>
      </c>
      <c r="E30" s="13"/>
      <c r="F30" s="6"/>
      <c r="G30" s="7" t="s">
        <v>1</v>
      </c>
      <c r="H30" s="8" t="s">
        <v>2</v>
      </c>
      <c r="I30" s="9" t="s">
        <v>4</v>
      </c>
      <c r="J30" s="13"/>
      <c r="K30" s="6"/>
      <c r="L30" s="7" t="s">
        <v>1</v>
      </c>
      <c r="M30" s="8" t="s">
        <v>2</v>
      </c>
      <c r="N30" s="9" t="s">
        <v>4</v>
      </c>
    </row>
    <row r="31" spans="1:17" ht="15.5" x14ac:dyDescent="0.35">
      <c r="A31" s="6" t="s">
        <v>199</v>
      </c>
      <c r="B31" s="28">
        <v>0.129</v>
      </c>
      <c r="C31" s="10">
        <f>D27</f>
        <v>3.7348812095032398</v>
      </c>
      <c r="D31" s="11">
        <f>B31*C31</f>
        <v>0.48179967602591794</v>
      </c>
      <c r="E31" s="13"/>
      <c r="F31" s="6" t="s">
        <v>199</v>
      </c>
      <c r="G31" s="28">
        <v>0.25700000000000001</v>
      </c>
      <c r="H31" s="10">
        <f>C31</f>
        <v>3.7348812095032398</v>
      </c>
      <c r="I31" s="11">
        <f>G31*H31</f>
        <v>0.95986447084233262</v>
      </c>
      <c r="J31" s="13"/>
      <c r="K31" s="6" t="s">
        <v>199</v>
      </c>
      <c r="L31" s="28">
        <v>0.74</v>
      </c>
      <c r="M31" s="10">
        <f>C31</f>
        <v>3.7348812095032398</v>
      </c>
      <c r="N31" s="11">
        <f>L31*M31</f>
        <v>2.7638120950323972</v>
      </c>
    </row>
    <row r="32" spans="1:17" ht="15.5" x14ac:dyDescent="0.35">
      <c r="A32" s="6" t="s">
        <v>151</v>
      </c>
      <c r="B32" s="28"/>
      <c r="C32" s="10">
        <f>'Pastry Costing'!F30</f>
        <v>0.2107946902228468</v>
      </c>
      <c r="D32" s="11">
        <f>C32</f>
        <v>0.2107946902228468</v>
      </c>
      <c r="E32" s="13"/>
      <c r="F32" s="6" t="s">
        <v>151</v>
      </c>
      <c r="G32" s="28"/>
      <c r="H32" s="10">
        <f>'Pastry Costing'!F31</f>
        <v>0.34141430034129694</v>
      </c>
      <c r="I32" s="11">
        <f>H32</f>
        <v>0.34141430034129694</v>
      </c>
      <c r="J32" s="13"/>
      <c r="K32" s="6" t="s">
        <v>151</v>
      </c>
      <c r="L32" s="28"/>
      <c r="M32" s="10">
        <f>'Pastry Costing'!F32</f>
        <v>0.52407440273037542</v>
      </c>
      <c r="N32" s="11">
        <f>M32</f>
        <v>0.52407440273037542</v>
      </c>
    </row>
    <row r="33" spans="1:14" ht="15.5" x14ac:dyDescent="0.35">
      <c r="A33" s="7" t="s">
        <v>106</v>
      </c>
      <c r="B33" s="28">
        <v>1</v>
      </c>
      <c r="C33" s="10">
        <f>'Ingredient Cost'!D95</f>
        <v>0.09</v>
      </c>
      <c r="D33" s="10">
        <f>B33*C33</f>
        <v>0.09</v>
      </c>
      <c r="E33" s="13"/>
      <c r="F33" s="7" t="s">
        <v>106</v>
      </c>
      <c r="G33" s="28">
        <v>1</v>
      </c>
      <c r="H33" s="10">
        <f>'Ingredient Cost'!D96</f>
        <v>0.12</v>
      </c>
      <c r="I33" s="10">
        <f>G33*H33</f>
        <v>0.12</v>
      </c>
      <c r="J33" s="13"/>
      <c r="K33" s="7" t="s">
        <v>106</v>
      </c>
      <c r="L33" s="28">
        <v>1</v>
      </c>
      <c r="M33" s="10">
        <f>'Ingredient Cost'!D97</f>
        <v>0.2</v>
      </c>
      <c r="N33" s="10">
        <f>L33*M33</f>
        <v>0.2</v>
      </c>
    </row>
    <row r="34" spans="1:14" ht="15.5" x14ac:dyDescent="0.35">
      <c r="A34" s="7" t="s">
        <v>180</v>
      </c>
      <c r="B34" s="28">
        <v>90</v>
      </c>
      <c r="C34" s="10">
        <v>15</v>
      </c>
      <c r="D34" s="10">
        <f>C34/B34</f>
        <v>0.16666666666666666</v>
      </c>
      <c r="E34" s="13"/>
      <c r="F34" s="7" t="s">
        <v>140</v>
      </c>
      <c r="G34" s="28">
        <v>48</v>
      </c>
      <c r="H34" s="10">
        <f>C34</f>
        <v>15</v>
      </c>
      <c r="I34" s="10">
        <f>H34/G34</f>
        <v>0.3125</v>
      </c>
      <c r="J34" s="13"/>
      <c r="K34" s="7" t="s">
        <v>140</v>
      </c>
      <c r="L34" s="28">
        <v>32</v>
      </c>
      <c r="M34" s="10">
        <v>15</v>
      </c>
      <c r="N34" s="10">
        <f>M34/L34</f>
        <v>0.46875</v>
      </c>
    </row>
    <row r="35" spans="1:14" ht="15.5" x14ac:dyDescent="0.35">
      <c r="A35" s="7"/>
      <c r="B35" s="12"/>
      <c r="C35" s="10"/>
      <c r="D35" s="10"/>
      <c r="E35" s="13"/>
      <c r="F35" s="7"/>
      <c r="G35" s="12"/>
      <c r="H35" s="10"/>
      <c r="I35" s="10"/>
      <c r="J35" s="13"/>
      <c r="K35" s="7"/>
      <c r="L35" s="12"/>
      <c r="M35" s="10"/>
      <c r="N35" s="10"/>
    </row>
    <row r="36" spans="1:14" ht="13" x14ac:dyDescent="0.3">
      <c r="A36" s="13"/>
      <c r="B36" s="13"/>
      <c r="C36" s="15"/>
      <c r="D36" s="14"/>
      <c r="E36" s="13"/>
      <c r="F36" s="13"/>
      <c r="G36" s="13"/>
      <c r="H36" s="15"/>
      <c r="I36" s="14"/>
      <c r="J36" s="13"/>
      <c r="K36" s="13"/>
      <c r="L36" s="13"/>
      <c r="M36" s="15"/>
      <c r="N36" s="14"/>
    </row>
    <row r="37" spans="1:14" ht="15.5" x14ac:dyDescent="0.35">
      <c r="A37" s="6" t="s">
        <v>0</v>
      </c>
      <c r="B37" s="13"/>
      <c r="C37" s="15"/>
      <c r="D37" s="19">
        <f>D31+D32+D33+D34</f>
        <v>0.9492610329154314</v>
      </c>
      <c r="E37" s="13"/>
      <c r="F37" s="6" t="s">
        <v>0</v>
      </c>
      <c r="G37" s="13"/>
      <c r="H37" s="15"/>
      <c r="I37" s="19">
        <f>I31+I32+I33+I34</f>
        <v>1.7337787711836294</v>
      </c>
      <c r="J37" s="13"/>
      <c r="K37" s="6" t="s">
        <v>0</v>
      </c>
      <c r="L37" s="13"/>
      <c r="M37" s="15"/>
      <c r="N37" s="19">
        <f>N31+N32+N33+N34</f>
        <v>3.9566364977627728</v>
      </c>
    </row>
    <row r="40" spans="1:14" ht="34.5" customHeight="1" x14ac:dyDescent="0.35">
      <c r="A40" s="7" t="s">
        <v>3</v>
      </c>
      <c r="B40" s="261" t="s">
        <v>316</v>
      </c>
      <c r="C40" s="261"/>
      <c r="D40" s="261"/>
      <c r="F40" s="7" t="s">
        <v>3</v>
      </c>
      <c r="G40" s="261" t="s">
        <v>317</v>
      </c>
      <c r="H40" s="261"/>
      <c r="I40" s="261"/>
      <c r="K40" s="7"/>
      <c r="L40" s="47"/>
      <c r="M40" s="48"/>
      <c r="N40" s="49"/>
    </row>
    <row r="41" spans="1:14" ht="15.5" x14ac:dyDescent="0.35">
      <c r="A41" s="6"/>
      <c r="B41" s="7" t="s">
        <v>1</v>
      </c>
      <c r="C41" s="8" t="s">
        <v>2</v>
      </c>
      <c r="D41" s="9" t="s">
        <v>4</v>
      </c>
      <c r="E41" s="13"/>
      <c r="F41" s="6"/>
      <c r="G41" s="7" t="s">
        <v>1</v>
      </c>
      <c r="H41" s="8" t="s">
        <v>2</v>
      </c>
      <c r="I41" s="9" t="s">
        <v>4</v>
      </c>
      <c r="J41" s="13"/>
      <c r="K41" s="7"/>
      <c r="L41" s="7"/>
      <c r="M41" s="8"/>
      <c r="N41" s="8"/>
    </row>
    <row r="42" spans="1:14" ht="15.5" x14ac:dyDescent="0.35">
      <c r="A42" s="6" t="s">
        <v>138</v>
      </c>
      <c r="B42" s="28">
        <v>9</v>
      </c>
      <c r="C42" s="10">
        <f>D37</f>
        <v>0.9492610329154314</v>
      </c>
      <c r="D42" s="11">
        <f>B42*C42</f>
        <v>8.5433492962388833</v>
      </c>
      <c r="E42" s="13"/>
      <c r="F42" s="6" t="s">
        <v>138</v>
      </c>
      <c r="G42" s="28">
        <v>6</v>
      </c>
      <c r="H42" s="10">
        <f>I37</f>
        <v>1.7337787711836294</v>
      </c>
      <c r="I42" s="11">
        <f>G42*H42</f>
        <v>10.402672627101776</v>
      </c>
      <c r="J42" s="13"/>
      <c r="K42" s="7"/>
      <c r="L42" s="13"/>
      <c r="M42" s="15"/>
      <c r="N42" s="74"/>
    </row>
    <row r="43" spans="1:14" ht="15.5" x14ac:dyDescent="0.35">
      <c r="A43" s="6" t="s">
        <v>94</v>
      </c>
      <c r="B43" s="28">
        <v>1</v>
      </c>
      <c r="C43" s="10">
        <f>'Ingredient Cost'!D86</f>
        <v>0.12</v>
      </c>
      <c r="D43" s="11">
        <f>B43*C43</f>
        <v>0.12</v>
      </c>
      <c r="E43" s="13"/>
      <c r="F43" s="6" t="s">
        <v>94</v>
      </c>
      <c r="G43" s="28">
        <v>1</v>
      </c>
      <c r="H43" s="10">
        <f>C43</f>
        <v>0.12</v>
      </c>
      <c r="I43" s="11">
        <f>G43*H43</f>
        <v>0.12</v>
      </c>
      <c r="J43" s="13"/>
      <c r="K43" s="7"/>
      <c r="L43" s="13"/>
      <c r="M43" s="15"/>
      <c r="N43" s="74"/>
    </row>
    <row r="44" spans="1:14" ht="15.5" x14ac:dyDescent="0.35">
      <c r="A44" s="6" t="s">
        <v>139</v>
      </c>
      <c r="B44" s="28">
        <v>9</v>
      </c>
      <c r="C44" s="10">
        <f>'Ingredient Cost'!D90</f>
        <v>0.22</v>
      </c>
      <c r="D44" s="10">
        <f>B44*C44</f>
        <v>1.98</v>
      </c>
      <c r="E44" s="13"/>
      <c r="F44" s="6" t="s">
        <v>139</v>
      </c>
      <c r="G44" s="28">
        <v>6</v>
      </c>
      <c r="H44" s="10">
        <v>0.1</v>
      </c>
      <c r="I44" s="10">
        <f>G44*H44</f>
        <v>0.60000000000000009</v>
      </c>
      <c r="J44" s="13"/>
      <c r="K44" s="7"/>
      <c r="L44" s="13"/>
      <c r="M44" s="15"/>
      <c r="N44" s="15"/>
    </row>
    <row r="45" spans="1:14" ht="15.5" x14ac:dyDescent="0.35">
      <c r="A45" s="7" t="s">
        <v>66</v>
      </c>
      <c r="B45" s="28">
        <v>1</v>
      </c>
      <c r="C45" s="10">
        <f>'Ingredient Cost'!D108</f>
        <v>0.2</v>
      </c>
      <c r="D45" s="10">
        <f>B45*C45</f>
        <v>0.2</v>
      </c>
      <c r="E45" s="13"/>
      <c r="F45" s="7" t="s">
        <v>66</v>
      </c>
      <c r="G45" s="28">
        <v>1</v>
      </c>
      <c r="H45" s="10">
        <f>C45</f>
        <v>0.2</v>
      </c>
      <c r="I45" s="10">
        <f>G45*H45</f>
        <v>0.2</v>
      </c>
      <c r="J45" s="13"/>
      <c r="K45" s="7"/>
      <c r="L45" s="13"/>
      <c r="M45" s="15"/>
      <c r="N45" s="15"/>
    </row>
    <row r="46" spans="1:14" ht="15.5" x14ac:dyDescent="0.35">
      <c r="A46" s="7" t="s">
        <v>180</v>
      </c>
      <c r="B46" s="28">
        <v>75</v>
      </c>
      <c r="C46" s="10">
        <v>15</v>
      </c>
      <c r="D46" s="10">
        <f>C46/B46</f>
        <v>0.2</v>
      </c>
      <c r="E46" s="13"/>
      <c r="F46" s="7" t="s">
        <v>180</v>
      </c>
      <c r="G46" s="28">
        <v>75</v>
      </c>
      <c r="H46" s="10">
        <v>15</v>
      </c>
      <c r="I46" s="10">
        <f>H46/G46*6</f>
        <v>1.2000000000000002</v>
      </c>
      <c r="J46" s="13"/>
      <c r="K46" s="7"/>
      <c r="L46" s="13"/>
      <c r="M46" s="15"/>
      <c r="N46" s="15"/>
    </row>
    <row r="47" spans="1:14" ht="15.5" x14ac:dyDescent="0.35">
      <c r="A47" s="7"/>
      <c r="B47" s="28"/>
      <c r="C47" s="10"/>
      <c r="D47" s="10"/>
      <c r="E47" s="13"/>
      <c r="F47" s="7" t="s">
        <v>67</v>
      </c>
      <c r="G47" s="28">
        <v>6</v>
      </c>
      <c r="H47" s="10">
        <v>0.1</v>
      </c>
      <c r="I47" s="10">
        <f>G47*H47</f>
        <v>0.60000000000000009</v>
      </c>
      <c r="J47" s="13"/>
      <c r="K47" s="7"/>
      <c r="L47" s="13"/>
      <c r="M47" s="15"/>
      <c r="N47" s="15"/>
    </row>
    <row r="48" spans="1:14" ht="15.5" x14ac:dyDescent="0.35">
      <c r="A48" s="7"/>
      <c r="B48" s="28"/>
      <c r="C48" s="10"/>
      <c r="D48" s="10"/>
      <c r="E48" s="13"/>
      <c r="F48" s="7" t="s">
        <v>184</v>
      </c>
      <c r="G48" s="28">
        <v>6</v>
      </c>
      <c r="H48" s="10">
        <v>0.01</v>
      </c>
      <c r="I48" s="10">
        <f>G48*H48</f>
        <v>0.06</v>
      </c>
      <c r="J48" s="13"/>
      <c r="K48" s="7"/>
      <c r="L48" s="13"/>
      <c r="M48" s="15"/>
      <c r="N48" s="15"/>
    </row>
    <row r="49" spans="1:14" ht="15.5" x14ac:dyDescent="0.35">
      <c r="A49" s="7"/>
      <c r="B49" s="12"/>
      <c r="C49" s="10"/>
      <c r="D49" s="10"/>
      <c r="E49" s="13"/>
      <c r="F49" s="7"/>
      <c r="G49" s="12"/>
      <c r="H49" s="10"/>
      <c r="I49" s="10"/>
      <c r="J49" s="13"/>
      <c r="K49" s="7"/>
      <c r="L49" s="13"/>
      <c r="M49" s="15"/>
      <c r="N49" s="15"/>
    </row>
    <row r="50" spans="1:14" ht="13" x14ac:dyDescent="0.3">
      <c r="A50" s="13"/>
      <c r="B50" s="13"/>
      <c r="C50" s="15"/>
      <c r="D50" s="14"/>
      <c r="E50" s="13"/>
      <c r="F50" s="13"/>
      <c r="G50" s="13"/>
      <c r="H50" s="15"/>
      <c r="I50" s="14"/>
      <c r="J50" s="13"/>
      <c r="K50" s="13"/>
      <c r="L50" s="13"/>
      <c r="M50" s="15"/>
      <c r="N50" s="15"/>
    </row>
    <row r="51" spans="1:14" ht="15.5" x14ac:dyDescent="0.35">
      <c r="A51" s="6" t="s">
        <v>0</v>
      </c>
      <c r="B51" s="13"/>
      <c r="C51" s="15"/>
      <c r="D51" s="19">
        <f>D42+D43+D44+D45+D46</f>
        <v>11.043349296238882</v>
      </c>
      <c r="E51" s="13"/>
      <c r="F51" s="6" t="s">
        <v>0</v>
      </c>
      <c r="G51" s="13"/>
      <c r="H51" s="15"/>
      <c r="I51" s="19">
        <f>I42+I43+I44+I45+I46+I47+I48</f>
        <v>13.182672627101773</v>
      </c>
      <c r="J51" s="13"/>
      <c r="K51" s="7"/>
      <c r="L51" s="13"/>
      <c r="M51" s="15"/>
      <c r="N51" s="82"/>
    </row>
    <row r="52" spans="1:14" ht="15.5" x14ac:dyDescent="0.35">
      <c r="A52" s="7" t="s">
        <v>182</v>
      </c>
      <c r="D52" s="74">
        <f>D51/9</f>
        <v>1.2270388106932091</v>
      </c>
      <c r="F52" s="7" t="s">
        <v>182</v>
      </c>
      <c r="I52" s="74">
        <f>I51/6</f>
        <v>2.1971121045169624</v>
      </c>
    </row>
  </sheetData>
  <mergeCells count="9">
    <mergeCell ref="B40:D40"/>
    <mergeCell ref="G40:I40"/>
    <mergeCell ref="A1:Q1"/>
    <mergeCell ref="A2:Q2"/>
    <mergeCell ref="A3:E3"/>
    <mergeCell ref="B4:H14"/>
    <mergeCell ref="B29:D29"/>
    <mergeCell ref="G29:I29"/>
    <mergeCell ref="L29:N29"/>
  </mergeCells>
  <pageMargins left="0.7" right="0.7" top="0.75" bottom="0.75" header="0.3" footer="0.3"/>
  <pageSetup paperSize="9" orientation="portrait" horizontalDpi="4294967293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AD00-FA58-4288-A9F5-FD9E03B0C9F3}">
  <dimension ref="A1:U41"/>
  <sheetViews>
    <sheetView workbookViewId="0">
      <selection activeCell="K30" sqref="K30"/>
    </sheetView>
  </sheetViews>
  <sheetFormatPr defaultRowHeight="12.5" x14ac:dyDescent="0.25"/>
  <cols>
    <col min="1" max="1" width="22.81640625" customWidth="1"/>
    <col min="5" max="5" width="11.453125" customWidth="1"/>
    <col min="6" max="6" width="17.81640625" customWidth="1"/>
    <col min="11" max="11" width="19.1796875" customWidth="1"/>
    <col min="16" max="16" width="19.1796875" customWidth="1"/>
  </cols>
  <sheetData>
    <row r="1" spans="1:20" ht="26" x14ac:dyDescent="0.25">
      <c r="A1" s="247" t="s">
        <v>23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20" ht="26" x14ac:dyDescent="0.25">
      <c r="A2" s="248" t="s">
        <v>5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</row>
    <row r="3" spans="1:20" ht="26" x14ac:dyDescent="0.25">
      <c r="A3" s="249" t="s">
        <v>389</v>
      </c>
      <c r="B3" s="249"/>
      <c r="C3" s="249"/>
      <c r="D3" s="249"/>
      <c r="E3" s="249"/>
      <c r="F3" s="249" t="s">
        <v>394</v>
      </c>
      <c r="G3" s="249"/>
      <c r="H3" s="249"/>
      <c r="I3" s="249"/>
      <c r="J3" s="249"/>
      <c r="K3" s="249" t="s">
        <v>400</v>
      </c>
      <c r="L3" s="249"/>
      <c r="M3" s="249"/>
      <c r="N3" s="249"/>
      <c r="O3" s="249"/>
      <c r="P3" s="249" t="s">
        <v>404</v>
      </c>
      <c r="Q3" s="249"/>
      <c r="R3" s="249"/>
      <c r="S3" s="249"/>
      <c r="T3" s="249"/>
    </row>
    <row r="4" spans="1:20" ht="15.5" x14ac:dyDescent="0.35">
      <c r="A4" s="7"/>
      <c r="B4" s="13"/>
      <c r="C4" s="15"/>
      <c r="D4" s="20"/>
      <c r="E4" s="13"/>
      <c r="F4" s="7"/>
      <c r="G4" s="13"/>
      <c r="H4" s="15"/>
      <c r="I4" s="20"/>
      <c r="J4" s="13"/>
      <c r="K4" s="7"/>
      <c r="L4" s="13"/>
      <c r="M4" s="15"/>
      <c r="N4" s="20"/>
      <c r="O4" s="13"/>
      <c r="P4" s="7"/>
      <c r="Q4" s="13"/>
      <c r="R4" s="15"/>
      <c r="S4" s="20"/>
      <c r="T4" s="13"/>
    </row>
    <row r="5" spans="1:20" ht="15.5" x14ac:dyDescent="0.35">
      <c r="A5" s="6" t="s">
        <v>3</v>
      </c>
      <c r="B5" s="78" t="s">
        <v>390</v>
      </c>
      <c r="C5" s="8"/>
      <c r="D5" s="9"/>
      <c r="E5" s="13"/>
      <c r="F5" s="6" t="s">
        <v>3</v>
      </c>
      <c r="G5" s="78" t="s">
        <v>402</v>
      </c>
      <c r="H5" s="8"/>
      <c r="I5" s="9"/>
      <c r="J5" s="13"/>
      <c r="K5" s="6" t="s">
        <v>3</v>
      </c>
      <c r="L5" s="78" t="s">
        <v>403</v>
      </c>
      <c r="M5" s="8"/>
      <c r="N5" s="9"/>
      <c r="O5" s="13"/>
      <c r="P5" s="6" t="s">
        <v>3</v>
      </c>
      <c r="Q5" s="78" t="s">
        <v>403</v>
      </c>
      <c r="R5" s="8"/>
      <c r="S5" s="9"/>
      <c r="T5" s="13"/>
    </row>
    <row r="6" spans="1:20" ht="15.5" x14ac:dyDescent="0.35">
      <c r="A6" s="6"/>
      <c r="B6" s="7" t="s">
        <v>1</v>
      </c>
      <c r="C6" s="8" t="s">
        <v>2</v>
      </c>
      <c r="D6" s="9" t="s">
        <v>4</v>
      </c>
      <c r="E6" s="13"/>
      <c r="F6" s="6"/>
      <c r="G6" s="7" t="s">
        <v>1</v>
      </c>
      <c r="H6" s="8" t="s">
        <v>2</v>
      </c>
      <c r="I6" s="9" t="s">
        <v>4</v>
      </c>
      <c r="J6" s="13"/>
      <c r="K6" s="6"/>
      <c r="L6" s="7" t="s">
        <v>1</v>
      </c>
      <c r="M6" s="8" t="s">
        <v>2</v>
      </c>
      <c r="N6" s="9" t="s">
        <v>4</v>
      </c>
      <c r="O6" s="13"/>
      <c r="P6" s="6"/>
      <c r="Q6" s="7" t="s">
        <v>1</v>
      </c>
      <c r="R6" s="8" t="s">
        <v>2</v>
      </c>
      <c r="S6" s="9" t="s">
        <v>4</v>
      </c>
      <c r="T6" s="13"/>
    </row>
    <row r="7" spans="1:20" ht="15.5" x14ac:dyDescent="0.35">
      <c r="A7" s="6" t="s">
        <v>64</v>
      </c>
      <c r="B7" s="28">
        <v>2.5</v>
      </c>
      <c r="C7" s="10">
        <f>'Ingredient Cost'!D64</f>
        <v>7</v>
      </c>
      <c r="D7" s="11">
        <f>B7*C7</f>
        <v>17.5</v>
      </c>
      <c r="E7" s="13"/>
      <c r="F7" s="6" t="s">
        <v>395</v>
      </c>
      <c r="G7" s="28">
        <v>2.5</v>
      </c>
      <c r="H7" s="10">
        <f>'Ingredient Cost'!D60</f>
        <v>11.71</v>
      </c>
      <c r="I7" s="11">
        <f>G7*H7</f>
        <v>29.275000000000002</v>
      </c>
      <c r="J7" s="13"/>
      <c r="K7" s="6" t="s">
        <v>120</v>
      </c>
      <c r="L7" s="28">
        <v>2.5</v>
      </c>
      <c r="M7" s="10">
        <f>'Ingredient Cost'!D59</f>
        <v>8.5</v>
      </c>
      <c r="N7" s="11">
        <f>L7*M7</f>
        <v>21.25</v>
      </c>
      <c r="O7" s="13"/>
      <c r="P7" s="6" t="s">
        <v>108</v>
      </c>
      <c r="Q7" s="28">
        <v>1.2</v>
      </c>
      <c r="R7" s="10">
        <f>'Ingredient Cost'!D62</f>
        <v>7.55</v>
      </c>
      <c r="S7" s="11">
        <f>Q7*R7</f>
        <v>9.0599999999999987</v>
      </c>
      <c r="T7" s="13"/>
    </row>
    <row r="8" spans="1:20" ht="15.5" x14ac:dyDescent="0.35">
      <c r="A8" s="6" t="s">
        <v>81</v>
      </c>
      <c r="B8" s="28">
        <v>0.15</v>
      </c>
      <c r="C8" s="10">
        <f>'Ingredient Cost'!D68</f>
        <v>3.32</v>
      </c>
      <c r="D8" s="11">
        <f>B8*C8</f>
        <v>0.49799999999999994</v>
      </c>
      <c r="E8" s="13"/>
      <c r="F8" s="6" t="s">
        <v>396</v>
      </c>
      <c r="G8" s="28">
        <v>1.4</v>
      </c>
      <c r="H8" s="10">
        <f>'Ingredient Cost'!I68</f>
        <v>0</v>
      </c>
      <c r="I8" s="11">
        <f>G8*H8</f>
        <v>0</v>
      </c>
      <c r="J8" s="13"/>
      <c r="K8" s="6" t="s">
        <v>79</v>
      </c>
      <c r="L8" s="28">
        <v>0.8</v>
      </c>
      <c r="M8" s="10">
        <f>'Ingredient Cost'!D29</f>
        <v>1.38</v>
      </c>
      <c r="N8" s="11">
        <f>L8*M8</f>
        <v>1.1039999999999999</v>
      </c>
      <c r="O8" s="13"/>
      <c r="P8" s="6" t="s">
        <v>109</v>
      </c>
      <c r="Q8" s="28">
        <v>0.75</v>
      </c>
      <c r="R8" s="10">
        <f>'Ingredient Cost'!D65</f>
        <v>25</v>
      </c>
      <c r="S8" s="11">
        <f>Q8*R8</f>
        <v>18.75</v>
      </c>
      <c r="T8" s="13"/>
    </row>
    <row r="9" spans="1:20" ht="15.5" x14ac:dyDescent="0.35">
      <c r="A9" s="6" t="s">
        <v>78</v>
      </c>
      <c r="B9" s="28">
        <v>0.75</v>
      </c>
      <c r="C9" s="10">
        <f>'Ingredient Cost'!D18</f>
        <v>4.75</v>
      </c>
      <c r="D9" s="11">
        <f t="shared" ref="D9:D11" si="0">B9*C9</f>
        <v>3.5625</v>
      </c>
      <c r="E9" s="13"/>
      <c r="F9" s="6" t="s">
        <v>397</v>
      </c>
      <c r="G9" s="28">
        <v>0.2</v>
      </c>
      <c r="H9" s="10">
        <f>'Ingredient Cost'!D44</f>
        <v>1.79</v>
      </c>
      <c r="I9" s="11">
        <f t="shared" ref="I9:I10" si="1">G9*H9</f>
        <v>0.35800000000000004</v>
      </c>
      <c r="J9" s="13"/>
      <c r="K9" s="6" t="s">
        <v>401</v>
      </c>
      <c r="L9" s="28">
        <v>1.4</v>
      </c>
      <c r="M9" s="10">
        <f>'Ingredient Cost'!N18</f>
        <v>0</v>
      </c>
      <c r="N9" s="11">
        <f t="shared" ref="N9:N10" si="2">L9*M9</f>
        <v>0</v>
      </c>
      <c r="O9" s="13"/>
      <c r="P9" s="6" t="s">
        <v>406</v>
      </c>
      <c r="Q9" s="28">
        <v>2.25</v>
      </c>
      <c r="R9" s="10">
        <f>'Ingredient Cost'!D12</f>
        <v>0.74</v>
      </c>
      <c r="S9" s="11">
        <f t="shared" ref="S9:S10" si="3">Q9*R9</f>
        <v>1.665</v>
      </c>
      <c r="T9" s="13"/>
    </row>
    <row r="10" spans="1:20" ht="15.5" x14ac:dyDescent="0.35">
      <c r="A10" s="7" t="s">
        <v>320</v>
      </c>
      <c r="B10" s="28">
        <v>1.45</v>
      </c>
      <c r="C10" s="10">
        <v>0</v>
      </c>
      <c r="D10" s="11">
        <f t="shared" si="0"/>
        <v>0</v>
      </c>
      <c r="E10" s="13"/>
      <c r="F10" s="116" t="s">
        <v>398</v>
      </c>
      <c r="G10" s="28">
        <v>0.4</v>
      </c>
      <c r="H10" s="10">
        <f>'Ingredient Cost'!D21</f>
        <v>8.9</v>
      </c>
      <c r="I10" s="11">
        <f t="shared" si="1"/>
        <v>3.5600000000000005</v>
      </c>
      <c r="J10" s="13"/>
      <c r="K10" s="116" t="s">
        <v>398</v>
      </c>
      <c r="L10" s="28">
        <v>0.4</v>
      </c>
      <c r="M10" s="10">
        <f>'Ingredient Cost'!D21</f>
        <v>8.9</v>
      </c>
      <c r="N10" s="11">
        <f t="shared" si="2"/>
        <v>3.5600000000000005</v>
      </c>
      <c r="O10" s="13"/>
      <c r="P10" s="116" t="s">
        <v>405</v>
      </c>
      <c r="Q10" s="28">
        <v>0.32500000000000001</v>
      </c>
      <c r="R10" s="10">
        <f>'Ingredient Cost'!D20</f>
        <v>8.9499999999999993</v>
      </c>
      <c r="S10" s="11">
        <f t="shared" si="3"/>
        <v>2.9087499999999999</v>
      </c>
      <c r="T10" s="13"/>
    </row>
    <row r="11" spans="1:20" ht="15.5" x14ac:dyDescent="0.35">
      <c r="A11" s="7" t="s">
        <v>391</v>
      </c>
      <c r="B11" s="28">
        <v>0.45</v>
      </c>
      <c r="C11" s="10">
        <f>'Ingredient Cost'!D21</f>
        <v>8.9</v>
      </c>
      <c r="D11" s="11">
        <f t="shared" si="0"/>
        <v>4.0049999999999999</v>
      </c>
      <c r="E11" s="13"/>
      <c r="F11" s="7"/>
      <c r="G11" s="28"/>
      <c r="H11" s="10"/>
      <c r="I11" s="11"/>
      <c r="J11" s="13"/>
      <c r="K11" s="7"/>
      <c r="L11" s="28"/>
      <c r="M11" s="10"/>
      <c r="N11" s="11"/>
      <c r="O11" s="13"/>
      <c r="P11" s="7"/>
      <c r="Q11" s="28"/>
      <c r="R11" s="10"/>
      <c r="S11" s="11"/>
      <c r="T11" s="13"/>
    </row>
    <row r="12" spans="1:20" ht="15.5" x14ac:dyDescent="0.35">
      <c r="A12" s="7"/>
      <c r="B12" s="28"/>
      <c r="C12" s="10"/>
      <c r="D12" s="11"/>
      <c r="E12" s="13"/>
      <c r="F12" s="7"/>
      <c r="G12" s="28"/>
      <c r="H12" s="10"/>
      <c r="I12" s="11"/>
      <c r="J12" s="13"/>
      <c r="K12" s="7"/>
      <c r="L12" s="28"/>
      <c r="M12" s="10"/>
      <c r="N12" s="11"/>
      <c r="O12" s="13"/>
      <c r="P12" s="7"/>
      <c r="Q12" s="28"/>
      <c r="R12" s="10"/>
      <c r="S12" s="11"/>
      <c r="T12" s="13"/>
    </row>
    <row r="13" spans="1:20" ht="15.5" x14ac:dyDescent="0.35">
      <c r="A13" s="7"/>
      <c r="B13" s="12"/>
      <c r="C13" s="10"/>
      <c r="D13" s="10"/>
      <c r="E13" s="13"/>
      <c r="F13" s="7"/>
      <c r="G13" s="12"/>
      <c r="H13" s="10"/>
      <c r="I13" s="10"/>
      <c r="J13" s="13"/>
      <c r="K13" s="7"/>
      <c r="L13" s="12"/>
      <c r="M13" s="10"/>
      <c r="N13" s="10"/>
      <c r="O13" s="13"/>
      <c r="P13" s="7"/>
      <c r="Q13" s="12"/>
      <c r="R13" s="10"/>
      <c r="S13" s="10"/>
      <c r="T13" s="13"/>
    </row>
    <row r="14" spans="1:20" ht="15.5" x14ac:dyDescent="0.35">
      <c r="A14" s="6"/>
      <c r="B14" s="12">
        <f>SUM(B7:B12)</f>
        <v>5.3</v>
      </c>
      <c r="C14" s="10"/>
      <c r="D14" s="10">
        <f>SUM(D7:D12)</f>
        <v>25.5655</v>
      </c>
      <c r="E14" s="13"/>
      <c r="F14" s="6"/>
      <c r="G14" s="12">
        <f>SUM(G7:G12)</f>
        <v>4.5</v>
      </c>
      <c r="H14" s="10"/>
      <c r="I14" s="10">
        <f>SUM(I7:I12)</f>
        <v>33.193000000000005</v>
      </c>
      <c r="J14" s="13"/>
      <c r="K14" s="6"/>
      <c r="L14" s="12">
        <f>SUM(L7:L12)</f>
        <v>5.0999999999999996</v>
      </c>
      <c r="M14" s="10"/>
      <c r="N14" s="10">
        <f>SUM(N7:N12)</f>
        <v>25.914000000000001</v>
      </c>
      <c r="O14" s="13"/>
      <c r="P14" s="6"/>
      <c r="Q14" s="12">
        <f>SUM(Q7:Q12)</f>
        <v>4.5250000000000004</v>
      </c>
      <c r="R14" s="10"/>
      <c r="S14" s="10">
        <f>SUM(S7:S12)</f>
        <v>32.383749999999999</v>
      </c>
      <c r="T14" s="13"/>
    </row>
    <row r="15" spans="1:20" ht="13" x14ac:dyDescent="0.3">
      <c r="A15" s="13"/>
      <c r="B15" s="13"/>
      <c r="C15" s="15"/>
      <c r="D15" s="14"/>
      <c r="E15" s="13"/>
      <c r="F15" s="13"/>
      <c r="G15" s="13"/>
      <c r="H15" s="15"/>
      <c r="I15" s="14"/>
      <c r="J15" s="13"/>
      <c r="K15" s="13"/>
      <c r="L15" s="13"/>
      <c r="M15" s="15"/>
      <c r="N15" s="14"/>
      <c r="O15" s="13"/>
      <c r="P15" s="13"/>
      <c r="Q15" s="13"/>
      <c r="R15" s="15"/>
      <c r="S15" s="14"/>
      <c r="T15" s="13"/>
    </row>
    <row r="16" spans="1:20" ht="15.5" x14ac:dyDescent="0.35">
      <c r="A16" s="6" t="s">
        <v>0</v>
      </c>
      <c r="B16" s="13"/>
      <c r="C16" s="15"/>
      <c r="D16" s="19">
        <f>D14/B14</f>
        <v>4.8236792452830191</v>
      </c>
      <c r="E16" s="13"/>
      <c r="F16" s="6" t="s">
        <v>0</v>
      </c>
      <c r="G16" s="13"/>
      <c r="H16" s="15"/>
      <c r="I16" s="19">
        <f>I14/G14</f>
        <v>7.3762222222222231</v>
      </c>
      <c r="J16" s="13"/>
      <c r="K16" s="6" t="s">
        <v>0</v>
      </c>
      <c r="L16" s="13"/>
      <c r="M16" s="15"/>
      <c r="N16" s="19">
        <f>N14/L14</f>
        <v>5.0811764705882361</v>
      </c>
      <c r="O16" s="13"/>
      <c r="P16" s="6" t="s">
        <v>0</v>
      </c>
      <c r="Q16" s="13"/>
      <c r="R16" s="15"/>
      <c r="S16" s="19">
        <f>S14/Q14</f>
        <v>7.1566298342541428</v>
      </c>
      <c r="T16" s="13"/>
    </row>
    <row r="17" spans="1:21" ht="15.5" x14ac:dyDescent="0.35">
      <c r="A17" s="7"/>
      <c r="B17" s="13"/>
      <c r="C17" s="15"/>
      <c r="D17" s="20"/>
      <c r="E17" s="13"/>
      <c r="F17" s="21"/>
      <c r="G17" s="22"/>
      <c r="H17" s="22"/>
      <c r="I17" s="22"/>
      <c r="J17" s="22"/>
      <c r="K17" s="22"/>
      <c r="L17" s="22"/>
      <c r="M17" s="13"/>
      <c r="N17" s="13"/>
      <c r="O17" s="13"/>
      <c r="P17" s="22"/>
      <c r="Q17" s="22"/>
      <c r="R17" s="13"/>
      <c r="S17" s="13"/>
      <c r="T17" s="13"/>
    </row>
    <row r="18" spans="1:21" ht="36.75" customHeight="1" x14ac:dyDescent="0.35">
      <c r="A18" s="7" t="s">
        <v>3</v>
      </c>
      <c r="B18" s="261" t="s">
        <v>393</v>
      </c>
      <c r="C18" s="261"/>
      <c r="D18" s="261"/>
      <c r="F18" s="7" t="s">
        <v>3</v>
      </c>
      <c r="G18" s="261" t="s">
        <v>394</v>
      </c>
      <c r="H18" s="261"/>
      <c r="I18" s="261"/>
      <c r="K18" s="7" t="s">
        <v>3</v>
      </c>
      <c r="L18" s="261" t="s">
        <v>400</v>
      </c>
      <c r="M18" s="261"/>
      <c r="N18" s="261"/>
      <c r="P18" s="7" t="s">
        <v>3</v>
      </c>
      <c r="Q18" s="261" t="s">
        <v>400</v>
      </c>
      <c r="R18" s="261"/>
      <c r="S18" s="261"/>
    </row>
    <row r="19" spans="1:21" ht="15.5" x14ac:dyDescent="0.35">
      <c r="A19" s="6"/>
      <c r="B19" s="7" t="s">
        <v>1</v>
      </c>
      <c r="C19" s="8" t="s">
        <v>2</v>
      </c>
      <c r="D19" s="9" t="s">
        <v>4</v>
      </c>
      <c r="E19" s="13"/>
      <c r="F19" s="6"/>
      <c r="G19" s="7" t="s">
        <v>1</v>
      </c>
      <c r="H19" s="8" t="s">
        <v>2</v>
      </c>
      <c r="I19" s="9" t="s">
        <v>4</v>
      </c>
      <c r="J19" s="13"/>
      <c r="K19" s="6"/>
      <c r="L19" s="7" t="s">
        <v>1</v>
      </c>
      <c r="M19" s="8" t="s">
        <v>2</v>
      </c>
      <c r="N19" s="9" t="s">
        <v>4</v>
      </c>
      <c r="P19" s="6"/>
      <c r="Q19" s="7" t="s">
        <v>1</v>
      </c>
      <c r="R19" s="8" t="s">
        <v>2</v>
      </c>
      <c r="S19" s="9" t="s">
        <v>4</v>
      </c>
    </row>
    <row r="20" spans="1:21" ht="15.5" x14ac:dyDescent="0.35">
      <c r="A20" s="6" t="s">
        <v>44</v>
      </c>
      <c r="B20" s="28">
        <v>0.13500000000000001</v>
      </c>
      <c r="C20" s="10">
        <f>'Ingredient Cost'!D9</f>
        <v>1.94</v>
      </c>
      <c r="D20" s="11">
        <f>B20*C20</f>
        <v>0.26190000000000002</v>
      </c>
      <c r="E20" s="13"/>
      <c r="F20" s="6" t="s">
        <v>44</v>
      </c>
      <c r="G20" s="28">
        <v>0.13500000000000001</v>
      </c>
      <c r="H20" s="10">
        <f>C20</f>
        <v>1.94</v>
      </c>
      <c r="I20" s="11">
        <f>G20*H20</f>
        <v>0.26190000000000002</v>
      </c>
      <c r="J20" s="13"/>
      <c r="K20" s="6" t="s">
        <v>44</v>
      </c>
      <c r="L20" s="28">
        <v>0.13500000000000001</v>
      </c>
      <c r="M20" s="10">
        <f>H20</f>
        <v>1.94</v>
      </c>
      <c r="N20" s="11">
        <f>L20*M20</f>
        <v>0.26190000000000002</v>
      </c>
      <c r="P20" s="6" t="s">
        <v>44</v>
      </c>
      <c r="Q20" s="28">
        <v>0.13500000000000001</v>
      </c>
      <c r="R20" s="10">
        <f>M20</f>
        <v>1.94</v>
      </c>
      <c r="S20" s="11">
        <f>Q20*R20</f>
        <v>0.26190000000000002</v>
      </c>
    </row>
    <row r="21" spans="1:21" ht="15.5" x14ac:dyDescent="0.35">
      <c r="A21" s="6" t="s">
        <v>199</v>
      </c>
      <c r="B21" s="28">
        <v>0.125</v>
      </c>
      <c r="C21" s="10">
        <f>D16</f>
        <v>4.8236792452830191</v>
      </c>
      <c r="D21" s="11">
        <f>B21*C21</f>
        <v>0.60295990566037738</v>
      </c>
      <c r="E21" s="13"/>
      <c r="F21" s="6" t="s">
        <v>199</v>
      </c>
      <c r="G21" s="28">
        <v>0.125</v>
      </c>
      <c r="H21" s="10">
        <f>I16</f>
        <v>7.3762222222222231</v>
      </c>
      <c r="I21" s="11">
        <f>G21*H21</f>
        <v>0.92202777777777789</v>
      </c>
      <c r="J21" s="13"/>
      <c r="K21" s="6" t="s">
        <v>199</v>
      </c>
      <c r="L21" s="28">
        <v>0.125</v>
      </c>
      <c r="M21" s="10">
        <f>N16</f>
        <v>5.0811764705882361</v>
      </c>
      <c r="N21" s="11">
        <f>L21*M21</f>
        <v>0.63514705882352951</v>
      </c>
      <c r="P21" s="6" t="s">
        <v>199</v>
      </c>
      <c r="Q21" s="28">
        <v>0.125</v>
      </c>
      <c r="R21" s="10">
        <f>S16</f>
        <v>7.1566298342541428</v>
      </c>
      <c r="S21" s="11">
        <f>Q21*R21</f>
        <v>0.89457872928176785</v>
      </c>
    </row>
    <row r="22" spans="1:21" ht="15.5" x14ac:dyDescent="0.35">
      <c r="A22" s="7" t="s">
        <v>392</v>
      </c>
      <c r="B22" s="28">
        <v>6.0000000000000001E-3</v>
      </c>
      <c r="C22" s="10">
        <f>C20</f>
        <v>1.94</v>
      </c>
      <c r="D22" s="10">
        <f>B22*C22</f>
        <v>1.1639999999999999E-2</v>
      </c>
      <c r="E22" s="13"/>
      <c r="F22" s="7" t="s">
        <v>392</v>
      </c>
      <c r="G22" s="28">
        <v>6.0000000000000001E-3</v>
      </c>
      <c r="H22" s="10">
        <f>H20</f>
        <v>1.94</v>
      </c>
      <c r="I22" s="10">
        <f>G22*H22</f>
        <v>1.1639999999999999E-2</v>
      </c>
      <c r="J22" s="13"/>
      <c r="K22" s="7" t="s">
        <v>392</v>
      </c>
      <c r="L22" s="28">
        <v>6.0000000000000001E-3</v>
      </c>
      <c r="M22" s="10">
        <f>M20</f>
        <v>1.94</v>
      </c>
      <c r="N22" s="10">
        <f>L22*M22</f>
        <v>1.1639999999999999E-2</v>
      </c>
      <c r="P22" s="7" t="s">
        <v>392</v>
      </c>
      <c r="Q22" s="28">
        <v>6.0000000000000001E-3</v>
      </c>
      <c r="R22" s="10">
        <f>R20</f>
        <v>1.94</v>
      </c>
      <c r="S22" s="10">
        <f>Q22*R22</f>
        <v>1.1639999999999999E-2</v>
      </c>
    </row>
    <row r="23" spans="1:21" ht="15.5" x14ac:dyDescent="0.35">
      <c r="A23" s="7" t="s">
        <v>180</v>
      </c>
      <c r="B23" s="28">
        <v>72</v>
      </c>
      <c r="C23" s="10">
        <f>'Steak Pie v2'!C53</f>
        <v>20</v>
      </c>
      <c r="D23" s="10">
        <f>C23/B23</f>
        <v>0.27777777777777779</v>
      </c>
      <c r="E23" s="13"/>
      <c r="F23" s="7" t="s">
        <v>180</v>
      </c>
      <c r="G23" s="28">
        <v>72</v>
      </c>
      <c r="H23" s="10">
        <f>'Steak Pie v2'!H53</f>
        <v>20</v>
      </c>
      <c r="I23" s="10">
        <f>H23/G23</f>
        <v>0.27777777777777779</v>
      </c>
      <c r="J23" s="13"/>
      <c r="K23" s="7" t="s">
        <v>180</v>
      </c>
      <c r="L23" s="28">
        <v>72</v>
      </c>
      <c r="M23" s="10">
        <f>'Steak Pie v2'!M53</f>
        <v>20</v>
      </c>
      <c r="N23" s="10">
        <f>M23/L23</f>
        <v>0.27777777777777779</v>
      </c>
      <c r="P23" s="7" t="s">
        <v>180</v>
      </c>
      <c r="Q23" s="28">
        <v>72</v>
      </c>
      <c r="R23" s="10">
        <f>'Steak Pie v2'!R53</f>
        <v>0</v>
      </c>
      <c r="S23" s="10">
        <f>R23/Q23</f>
        <v>0</v>
      </c>
    </row>
    <row r="24" spans="1:21" ht="15.5" x14ac:dyDescent="0.35">
      <c r="A24" s="7"/>
      <c r="B24" s="12"/>
      <c r="C24" s="10"/>
      <c r="D24" s="10"/>
      <c r="E24" s="13"/>
      <c r="F24" s="7"/>
      <c r="G24" s="12"/>
      <c r="H24" s="10"/>
      <c r="I24" s="10"/>
      <c r="J24" s="13"/>
      <c r="K24" s="7"/>
      <c r="L24" s="12"/>
      <c r="M24" s="10"/>
      <c r="N24" s="10"/>
      <c r="P24" s="7"/>
      <c r="Q24" s="12"/>
      <c r="R24" s="10"/>
      <c r="S24" s="10"/>
    </row>
    <row r="25" spans="1:21" ht="13" x14ac:dyDescent="0.3">
      <c r="A25" s="13"/>
      <c r="B25" s="13"/>
      <c r="C25" s="15"/>
      <c r="D25" s="14"/>
      <c r="E25" s="13"/>
      <c r="F25" s="13"/>
      <c r="G25" s="13"/>
      <c r="H25" s="15"/>
      <c r="I25" s="14"/>
      <c r="J25" s="13"/>
      <c r="K25" s="13"/>
      <c r="L25" s="13"/>
      <c r="M25" s="15"/>
      <c r="N25" s="14"/>
      <c r="P25" s="13"/>
      <c r="Q25" s="13"/>
      <c r="R25" s="15"/>
      <c r="S25" s="14"/>
    </row>
    <row r="26" spans="1:21" ht="15.5" x14ac:dyDescent="0.35">
      <c r="A26" s="6" t="s">
        <v>0</v>
      </c>
      <c r="B26" s="13"/>
      <c r="C26" s="15"/>
      <c r="D26" s="19">
        <f>D20+D21+D22+D23</f>
        <v>1.1542776834381552</v>
      </c>
      <c r="E26" s="13"/>
      <c r="F26" s="6" t="s">
        <v>0</v>
      </c>
      <c r="G26" s="13"/>
      <c r="H26" s="15"/>
      <c r="I26" s="19">
        <f>I20+I21+I22+I23</f>
        <v>1.4733455555555559</v>
      </c>
      <c r="J26" s="13"/>
      <c r="K26" s="6" t="s">
        <v>0</v>
      </c>
      <c r="L26" s="13"/>
      <c r="M26" s="15"/>
      <c r="N26" s="19">
        <f>N20+N21+N22+N23</f>
        <v>1.1864648366013073</v>
      </c>
      <c r="P26" s="6" t="s">
        <v>0</v>
      </c>
      <c r="Q26" s="13"/>
      <c r="R26" s="15"/>
      <c r="S26" s="19">
        <f>S20+S21+S22+S23</f>
        <v>1.1681187292817679</v>
      </c>
    </row>
    <row r="29" spans="1:21" ht="18" customHeight="1" x14ac:dyDescent="0.35">
      <c r="A29" s="117">
        <v>1.75</v>
      </c>
      <c r="B29" s="262">
        <f>(A29-D26)/A29</f>
        <v>0.34041275232105417</v>
      </c>
      <c r="C29" s="262"/>
      <c r="D29" s="262"/>
      <c r="F29" s="117">
        <v>2.35</v>
      </c>
      <c r="G29" s="262">
        <f>(F29-I26)/F29</f>
        <v>0.37304444444444435</v>
      </c>
      <c r="H29" s="262"/>
      <c r="I29" s="262"/>
      <c r="K29" s="117">
        <v>1.85</v>
      </c>
      <c r="L29" s="262">
        <f>(K29-N26)/K29</f>
        <v>0.35866765589118527</v>
      </c>
      <c r="M29" s="262"/>
      <c r="N29" s="262"/>
      <c r="P29" s="117">
        <v>1.85</v>
      </c>
      <c r="Q29" s="262">
        <f>(P29-S26)/P29</f>
        <v>0.36858447065850392</v>
      </c>
      <c r="R29" s="262"/>
      <c r="S29" s="262"/>
    </row>
    <row r="30" spans="1:21" ht="15.5" x14ac:dyDescent="0.35">
      <c r="A30" s="6"/>
      <c r="B30" s="7"/>
      <c r="C30" s="8"/>
      <c r="D30" s="9"/>
      <c r="E30" s="13"/>
      <c r="F30" s="6"/>
      <c r="G30" s="7"/>
      <c r="H30" s="8"/>
      <c r="I30" s="9"/>
      <c r="J30" s="13"/>
      <c r="K30" s="7"/>
      <c r="L30" s="7"/>
      <c r="M30" s="8"/>
      <c r="N30" s="8"/>
      <c r="P30" s="118">
        <f>(180*S26)</f>
        <v>210.2613712707182</v>
      </c>
      <c r="Q30" s="118">
        <f>(180*P29)</f>
        <v>333</v>
      </c>
      <c r="S30" s="262">
        <f>(Q30-P30)/Q30</f>
        <v>0.36858447065850392</v>
      </c>
      <c r="T30" s="262"/>
      <c r="U30" s="262"/>
    </row>
    <row r="31" spans="1:21" ht="15.5" x14ac:dyDescent="0.35">
      <c r="A31" s="6"/>
      <c r="B31" s="28"/>
      <c r="C31" s="10"/>
      <c r="D31" s="11"/>
      <c r="E31" s="13"/>
      <c r="F31" s="6"/>
      <c r="G31" s="28"/>
      <c r="H31" s="10"/>
      <c r="I31" s="11"/>
      <c r="J31" s="13"/>
      <c r="K31" s="7"/>
      <c r="L31" s="13"/>
      <c r="M31" s="15"/>
      <c r="N31" s="74"/>
      <c r="Q31">
        <v>219.21</v>
      </c>
    </row>
    <row r="32" spans="1:21" ht="15.5" x14ac:dyDescent="0.35">
      <c r="A32" s="6"/>
      <c r="B32" s="28"/>
      <c r="C32" s="10"/>
      <c r="D32" s="11"/>
      <c r="E32" s="13"/>
      <c r="F32" s="6"/>
      <c r="G32" s="28"/>
      <c r="H32" s="10"/>
      <c r="I32" s="11"/>
      <c r="J32" s="13"/>
      <c r="K32" s="7"/>
      <c r="L32" s="13"/>
      <c r="M32" s="15"/>
      <c r="N32" s="74"/>
    </row>
    <row r="33" spans="1:14" ht="15.5" x14ac:dyDescent="0.35">
      <c r="A33" s="6"/>
      <c r="B33" s="28"/>
      <c r="C33" s="10"/>
      <c r="D33" s="10"/>
      <c r="E33" s="13"/>
      <c r="F33" s="6"/>
      <c r="G33" s="28"/>
      <c r="H33" s="10"/>
      <c r="I33" s="10"/>
      <c r="J33" s="13"/>
      <c r="K33" s="7"/>
      <c r="L33" s="13"/>
      <c r="M33" s="15"/>
      <c r="N33" s="15"/>
    </row>
    <row r="34" spans="1:14" ht="15.5" x14ac:dyDescent="0.35">
      <c r="A34" s="7"/>
      <c r="B34" s="28"/>
      <c r="C34" s="10"/>
      <c r="D34" s="10"/>
      <c r="E34" s="13"/>
      <c r="F34" s="7"/>
      <c r="G34" s="28"/>
      <c r="H34" s="10"/>
      <c r="I34" s="10"/>
      <c r="J34" s="13"/>
      <c r="K34" s="7"/>
      <c r="L34" s="13"/>
      <c r="M34" s="15"/>
      <c r="N34" s="15"/>
    </row>
    <row r="35" spans="1:14" ht="15.5" x14ac:dyDescent="0.35">
      <c r="A35" s="7"/>
      <c r="B35" s="28"/>
      <c r="C35" s="10"/>
      <c r="D35" s="10"/>
      <c r="E35" s="13"/>
      <c r="F35" s="7"/>
      <c r="G35" s="28"/>
      <c r="H35" s="10"/>
      <c r="I35" s="10"/>
      <c r="J35" s="13"/>
      <c r="K35" s="7"/>
      <c r="L35" s="13"/>
      <c r="M35" s="15"/>
      <c r="N35" s="15"/>
    </row>
    <row r="36" spans="1:14" ht="15.5" x14ac:dyDescent="0.35">
      <c r="A36" s="7"/>
      <c r="B36" s="28"/>
      <c r="C36" s="10"/>
      <c r="D36" s="10"/>
      <c r="E36" s="13"/>
      <c r="F36" s="7"/>
      <c r="G36" s="28"/>
      <c r="H36" s="10"/>
      <c r="I36" s="10"/>
      <c r="J36" s="13"/>
      <c r="K36" s="7"/>
      <c r="L36" s="13"/>
      <c r="M36" s="15"/>
      <c r="N36" s="15"/>
    </row>
    <row r="37" spans="1:14" ht="15.5" x14ac:dyDescent="0.35">
      <c r="A37" s="7"/>
      <c r="B37" s="28"/>
      <c r="C37" s="10"/>
      <c r="D37" s="10"/>
      <c r="E37" s="13"/>
      <c r="F37" s="7"/>
      <c r="G37" s="28"/>
      <c r="H37" s="10"/>
      <c r="I37" s="10"/>
      <c r="J37" s="13"/>
      <c r="K37" s="7"/>
      <c r="L37" s="13"/>
      <c r="M37" s="15"/>
      <c r="N37" s="15"/>
    </row>
    <row r="38" spans="1:14" ht="15.5" x14ac:dyDescent="0.35">
      <c r="A38" s="7"/>
      <c r="B38" s="12"/>
      <c r="C38" s="10"/>
      <c r="D38" s="10"/>
      <c r="E38" s="13"/>
      <c r="F38" s="7"/>
      <c r="G38" s="12"/>
      <c r="H38" s="10"/>
      <c r="I38" s="10"/>
      <c r="J38" s="13"/>
      <c r="K38" s="7"/>
      <c r="L38" s="13"/>
      <c r="M38" s="15"/>
      <c r="N38" s="15"/>
    </row>
    <row r="39" spans="1:14" ht="13" x14ac:dyDescent="0.3">
      <c r="A39" s="13"/>
      <c r="B39" s="13"/>
      <c r="C39" s="15"/>
      <c r="D39" s="14"/>
      <c r="E39" s="13"/>
      <c r="F39" s="13"/>
      <c r="G39" s="13"/>
      <c r="H39" s="15"/>
      <c r="I39" s="14"/>
      <c r="J39" s="13"/>
      <c r="K39" s="13"/>
      <c r="L39" s="13"/>
      <c r="M39" s="15"/>
      <c r="N39" s="15"/>
    </row>
    <row r="40" spans="1:14" ht="15.5" x14ac:dyDescent="0.35">
      <c r="A40" s="6"/>
      <c r="B40" s="13"/>
      <c r="C40" s="15"/>
      <c r="D40" s="19"/>
      <c r="E40" s="13"/>
      <c r="F40" s="6"/>
      <c r="G40" s="13"/>
      <c r="H40" s="15"/>
      <c r="I40" s="19"/>
      <c r="J40" s="13"/>
      <c r="K40" s="7"/>
      <c r="L40" s="13"/>
      <c r="M40" s="15"/>
      <c r="N40" s="82"/>
    </row>
    <row r="41" spans="1:14" ht="15.5" x14ac:dyDescent="0.35">
      <c r="A41" s="7"/>
      <c r="D41" s="74"/>
      <c r="F41" s="7"/>
      <c r="I41" s="74"/>
    </row>
  </sheetData>
  <mergeCells count="15">
    <mergeCell ref="A1:Q1"/>
    <mergeCell ref="A2:Q2"/>
    <mergeCell ref="A3:E3"/>
    <mergeCell ref="B18:D18"/>
    <mergeCell ref="G18:I18"/>
    <mergeCell ref="L18:N18"/>
    <mergeCell ref="P3:T3"/>
    <mergeCell ref="Q18:S18"/>
    <mergeCell ref="S30:U30"/>
    <mergeCell ref="B29:D29"/>
    <mergeCell ref="G29:I29"/>
    <mergeCell ref="F3:J3"/>
    <mergeCell ref="K3:O3"/>
    <mergeCell ref="L29:N29"/>
    <mergeCell ref="Q29:S2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3</vt:i4>
      </vt:variant>
    </vt:vector>
  </HeadingPairs>
  <TitlesOfParts>
    <vt:vector size="44" baseType="lpstr">
      <vt:lpstr>Sheet1</vt:lpstr>
      <vt:lpstr>Ingredient Cost</vt:lpstr>
      <vt:lpstr>Sliced Ham</vt:lpstr>
      <vt:lpstr>Haslet</vt:lpstr>
      <vt:lpstr>Meatballs</vt:lpstr>
      <vt:lpstr>Black Pudding</vt:lpstr>
      <vt:lpstr>Faggots</vt:lpstr>
      <vt:lpstr>Scotch Eggs</vt:lpstr>
      <vt:lpstr>ROM</vt:lpstr>
      <vt:lpstr>Pastry Costing</vt:lpstr>
      <vt:lpstr>Jumbo Sausage Roll</vt:lpstr>
      <vt:lpstr>Costings v2</vt:lpstr>
      <vt:lpstr>Sliced Haslet - 120g</vt:lpstr>
      <vt:lpstr>Sliced Haslet - 160g</vt:lpstr>
      <vt:lpstr>Whole Haslet v2</vt:lpstr>
      <vt:lpstr>Scoth Eggs v2</vt:lpstr>
      <vt:lpstr>Jumbo Sausage Roll v2</vt:lpstr>
      <vt:lpstr>Sausage Roll</vt:lpstr>
      <vt:lpstr>Bacon Puff</vt:lpstr>
      <vt:lpstr>Chorizo Puff</vt:lpstr>
      <vt:lpstr>Onion Puff</vt:lpstr>
      <vt:lpstr>Pork Pie v2</vt:lpstr>
      <vt:lpstr>1lb Pork Pie</vt:lpstr>
      <vt:lpstr>Hunters Pie</vt:lpstr>
      <vt:lpstr>Sausage Roll v2</vt:lpstr>
      <vt:lpstr>Steak Pie v2</vt:lpstr>
      <vt:lpstr>Steak &amp; Ale Pie</vt:lpstr>
      <vt:lpstr>Steak &amp; Ale Pie v2</vt:lpstr>
      <vt:lpstr>Steak &amp; Kidney Pie</vt:lpstr>
      <vt:lpstr>Steak &amp; Kidney Pie v2</vt:lpstr>
      <vt:lpstr>Steak &amp; Stilton Pie</vt:lpstr>
      <vt:lpstr>Steak &amp; Stilton Pie v2</vt:lpstr>
      <vt:lpstr>C&amp;H Pie v2</vt:lpstr>
      <vt:lpstr>C&amp;H Pie</vt:lpstr>
      <vt:lpstr>C&amp;C Pie v2</vt:lpstr>
      <vt:lpstr>C&amp;C Pie</vt:lpstr>
      <vt:lpstr>Pulled Pork Pie v2 (2)</vt:lpstr>
      <vt:lpstr>C&amp;S Pie</vt:lpstr>
      <vt:lpstr>Pulled Pork Pie</vt:lpstr>
      <vt:lpstr>Ham Hock Pie</vt:lpstr>
      <vt:lpstr>Purses</vt:lpstr>
      <vt:lpstr>'C&amp;H Pie'!Print_Area</vt:lpstr>
      <vt:lpstr>'Pastry Costing'!Print_Area</vt:lpstr>
      <vt:lpstr>'Sliced Ham'!Print_Area</vt:lpstr>
    </vt:vector>
  </TitlesOfParts>
  <Company>F C Phipps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Stables</cp:lastModifiedBy>
  <cp:lastPrinted>2026-02-04T17:11:07Z</cp:lastPrinted>
  <dcterms:created xsi:type="dcterms:W3CDTF">2008-05-28T10:48:49Z</dcterms:created>
  <dcterms:modified xsi:type="dcterms:W3CDTF">2026-03-13T14:25:00Z</dcterms:modified>
</cp:coreProperties>
</file>